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0B8A03DC-4895-4C6A-A363-98E88B5BC3BF}" xr6:coauthVersionLast="47" xr6:coauthVersionMax="47" xr10:uidLastSave="{00000000-0000-0000-0000-000000000000}"/>
  <bookViews>
    <workbookView xWindow="-98" yWindow="-98" windowWidth="23236" windowHeight="13875" tabRatio="821" activeTab="1" xr2:uid="{00000000-000D-0000-FFFF-FFFF00000000}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22" l="1"/>
  <c r="E8" i="107" s="1"/>
  <c r="E10" i="107" s="1"/>
  <c r="D7" i="122"/>
  <c r="G8" i="107" s="1"/>
  <c r="B6" i="122"/>
  <c r="D8" i="107" s="1"/>
  <c r="D6" i="122"/>
  <c r="F8" i="107" s="1"/>
  <c r="C8" i="107"/>
  <c r="F10" i="107" l="1"/>
  <c r="D10" i="107"/>
  <c r="G10" i="107"/>
  <c r="E12" i="107" l="1"/>
  <c r="E13" i="107"/>
</calcChain>
</file>

<file path=xl/sharedStrings.xml><?xml version="1.0" encoding="utf-8"?>
<sst xmlns="http://schemas.openxmlformats.org/spreadsheetml/2006/main" count="540" uniqueCount="430">
  <si>
    <t>Fail</t>
  </si>
  <si>
    <t>Date</t>
    <phoneticPr fontId="13"/>
  </si>
  <si>
    <t>TEST CASE</t>
  </si>
  <si>
    <t>Test Case Description</t>
  </si>
  <si>
    <t>Result</t>
  </si>
  <si>
    <t>Change location</t>
  </si>
  <si>
    <t>Change description</t>
  </si>
  <si>
    <t>Note:</t>
  </si>
  <si>
    <t>TEST REPORT</t>
  </si>
  <si>
    <t>Effective Date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</si>
  <si>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</si>
  <si>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</si>
  <si>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</si>
  <si>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</si>
  <si>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</si>
  <si>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</si>
  <si>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</si>
  <si>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</si>
  <si>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</si>
  <si>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</si>
  <si>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</si>
  <si>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</si>
  <si>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</si>
  <si>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</si>
  <si>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</si>
  <si>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</si>
  <si>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Expected Output</t>
  </si>
  <si>
    <t>Test requirement:</t>
  </si>
  <si>
    <t>ID</t>
  </si>
  <si>
    <t>Note</t>
  </si>
  <si>
    <t>Version:</t>
  </si>
  <si>
    <t>Project Name: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</si>
  <si>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</si>
  <si>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</si>
  <si>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</si>
  <si>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</si>
  <si>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</si>
  <si>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Sample Project</t>
  </si>
  <si>
    <t>CR100 - Export to excel</t>
  </si>
  <si>
    <t xml:space="preserve">CR1 - </t>
  </si>
  <si>
    <t>FormG</t>
  </si>
  <si>
    <t>Первое создание</t>
  </si>
  <si>
    <t>Группа 7</t>
  </si>
  <si>
    <t>1. Модуль Авторизации (AUTH) — 35 тест-кейсов</t>
  </si>
  <si>
    <t>TC-AUTH-001</t>
  </si>
  <si>
    <t>Успешная регистрация нового пользователя</t>
  </si>
  <si>
    <t>TC-AUTH-002</t>
  </si>
  <si>
    <t>Регистрация с уже существующим email</t>
  </si>
  <si>
    <t>Ошибка "Email уже используется"</t>
  </si>
  <si>
    <t>TC-AUTH-003</t>
  </si>
  <si>
    <t>Регистрация с невалидным форматом email</t>
  </si>
  <si>
    <t>email без @, с пробелами, слишком длинный</t>
  </si>
  <si>
    <t>Валидация на клиенте + ошибка</t>
  </si>
  <si>
    <t>TC-AUTH-004</t>
  </si>
  <si>
    <t>Регистрация со слабым паролем (меньше 8 символов)</t>
  </si>
  <si>
    <t>Пароль 1234567</t>
  </si>
  <si>
    <t>Ошибка требований к паролю</t>
  </si>
  <si>
    <t>TC-AUTH-005</t>
  </si>
  <si>
    <t>Регистрация с несовпадением подтверждения пароля</t>
  </si>
  <si>
    <t>Пароль и Confirm Password разные</t>
  </si>
  <si>
    <t>Ошибка "Пароли не совпадают"</t>
  </si>
  <si>
    <t>TC-AUTH-006</t>
  </si>
  <si>
    <t>Успешный логин (admin/1234)</t>
  </si>
  <si>
    <t>TC-AUTH-007</t>
  </si>
  <si>
    <t>Логин с неверным паролем</t>
  </si>
  <si>
    <t>Правильный логин + неверный пароль</t>
  </si>
  <si>
    <t>TC-AUTH-008</t>
  </si>
  <si>
    <t>Логин с несуществующим пользователем</t>
  </si>
  <si>
    <t>Новый email</t>
  </si>
  <si>
    <t>TC-AUTH-009</t>
  </si>
  <si>
    <t>SQL-инъекция в поле email/пароль</t>
  </si>
  <si>
    <t>' OR '1'='1 --</t>
  </si>
  <si>
    <t>TC-AUTH-010</t>
  </si>
  <si>
    <t>XSS в поле имени пользователя</t>
  </si>
  <si>
    <t>&lt;script&gt;alert(1)&lt;/script&gt;</t>
  </si>
  <si>
    <t>Экранирование или отклонение</t>
  </si>
  <si>
    <t>TC-AUTH-011</t>
  </si>
  <si>
    <t>Восстановление пароля — существующий email</t>
  </si>
  <si>
    <t>Сообщение об отправке ссылки</t>
  </si>
  <si>
    <t>TC-AUTH-012</t>
  </si>
  <si>
    <t>Восстановление пароля — несуществующий email</t>
  </si>
  <si>
    <t>Ввести несуществующий email</t>
  </si>
  <si>
    <t>Сообщение "Email не найден"</t>
  </si>
  <si>
    <t>TC-AUTH-013</t>
  </si>
  <si>
    <t>Logout из приложения</t>
  </si>
  <si>
    <t>Возврат на экран логина</t>
  </si>
  <si>
    <t>TC-AUTH-014</t>
  </si>
  <si>
    <t>Logout из всех устройств</t>
  </si>
  <si>
    <t>Функция "Выйти везде"</t>
  </si>
  <si>
    <t>Все сессии инвалидированы</t>
  </si>
  <si>
    <t>TC-AUTH-015</t>
  </si>
  <si>
    <t>30 минут бездействия</t>
  </si>
  <si>
    <t>Принудительный logout</t>
  </si>
  <si>
    <t>TC-AUTH-016</t>
  </si>
  <si>
    <t>Одновременный вход с двух устройств</t>
  </si>
  <si>
    <t>1. Запустить FormG_x000D_
2. Перейти на экран регистрации_x000D_
3. Ввести уникальный валидный email, имя, пароль + подтверждение</t>
  </si>
  <si>
    <t>Успешное сообщение, переход на Login, пользователь сохранён в БД</t>
  </si>
  <si>
    <t>Ввести уже зарегистрированный email</t>
  </si>
  <si>
    <t>Ввести admin / 1234</t>
  </si>
  <si>
    <t>Переход в главное окно с графиком</t>
  </si>
  <si>
    <t>Неверный логин или пароль</t>
  </si>
  <si>
    <t>Отклонение запроса</t>
  </si>
  <si>
    <t>Forgot Password → ввести зарегистрированный email</t>
  </si>
  <si>
    <t>Нажать кнопку Logout</t>
  </si>
  <si>
    <t>Автоматический logout по таймауту</t>
  </si>
  <si>
    <t>Зайти с двух клиентов одним аккаунтом</t>
  </si>
  <si>
    <t>Успешно или политика одного сеанса</t>
  </si>
  <si>
    <t>TC-AUTH-017</t>
  </si>
  <si>
    <t>Rate limiting регистрации</t>
  </si>
  <si>
    <t>10 быстрых попыток регистрации</t>
  </si>
  <si>
    <t>Временная блокировка</t>
  </si>
  <si>
    <t>TC-AUTH-018</t>
  </si>
  <si>
    <t>Проверка refresh token</t>
  </si>
  <si>
    <t>Истечение access token</t>
  </si>
  <si>
    <t>Автоматическое обновление токена</t>
  </si>
  <si>
    <t>TC-AUTH-019</t>
  </si>
  <si>
    <t>Регистрация с максимальной длиной полей</t>
  </si>
  <si>
    <t>Максимально длинные валидные данные</t>
  </si>
  <si>
    <t>Успешная регистрация</t>
  </si>
  <si>
    <t>TC-AUTH-020</t>
  </si>
  <si>
    <t>Регистрация со спецсимволами</t>
  </si>
  <si>
    <t>Имя с @#$%^&amp;*()</t>
  </si>
  <si>
    <t>Корректная обработка</t>
  </si>
  <si>
    <t>TC-AUTH-021</t>
  </si>
  <si>
    <t>Логин с пустыми полями</t>
  </si>
  <si>
    <t>Оставить поля пустыми</t>
  </si>
  <si>
    <t>Ошибка валидации</t>
  </si>
  <si>
    <t>TC-AUTH-022</t>
  </si>
  <si>
    <t>Кнопка неактивна при пустых полях</t>
  </si>
  <si>
    <t>Пустые поля</t>
  </si>
  <si>
    <t>Кнопка регистрации неактивна</t>
  </si>
  <si>
    <t>TC-AUTH-023</t>
  </si>
  <si>
    <t>Переход между Login и Register</t>
  </si>
  <si>
    <t>Нажать ссылки перехода</t>
  </si>
  <si>
    <t>Корректный переход</t>
  </si>
  <si>
    <t>TC-AUTH-024</t>
  </si>
  <si>
    <t>Валидация email в реальном времени</t>
  </si>
  <si>
    <t>Вводить email посимвольно</t>
  </si>
  <si>
    <t>Подсказки об ошибке</t>
  </si>
  <si>
    <t>TC-AUTH-025</t>
  </si>
  <si>
    <t>Хранение паролей (безопасность)</t>
  </si>
  <si>
    <t>Просмотр БД</t>
  </si>
  <si>
    <t>Пароли хранятся в хэшированном виде</t>
  </si>
  <si>
    <t>TC-AUTH-026</t>
  </si>
  <si>
    <t>Регистрация с очень длинным паролем</t>
  </si>
  <si>
    <t>Пароль 100+ символов</t>
  </si>
  <si>
    <t>TC-AUTH-027</t>
  </si>
  <si>
    <t>Логин после смены пароля</t>
  </si>
  <si>
    <t>Сменить пароль → попробовать старый</t>
  </si>
  <si>
    <t>Старый пароль не работает</t>
  </si>
  <si>
    <t>TC-AUTH-028</t>
  </si>
  <si>
    <t>Многофакторная аутентификация (если есть)</t>
  </si>
  <si>
    <t>Включить 2FA</t>
  </si>
  <si>
    <t>Запрос кода при входе</t>
  </si>
  <si>
    <t>TC-AUTH-029</t>
  </si>
  <si>
    <t>Локализация ошибок</t>
  </si>
  <si>
    <t>Переключить язык</t>
  </si>
  <si>
    <t>Ошибки на выбранном языке</t>
  </si>
  <si>
    <t>TC-AUTH-030</t>
  </si>
  <si>
    <t>Тестирование на разных ОС</t>
  </si>
  <si>
    <t>Запуск на Windows/Linux/macOS</t>
  </si>
  <si>
    <t>Корректная работа</t>
  </si>
  <si>
    <t>TC-AUTH-031</t>
  </si>
  <si>
    <t>Brute force защита</t>
  </si>
  <si>
    <t>50+ неверных попыток</t>
  </si>
  <si>
    <t>Блокировка аккаунта</t>
  </si>
  <si>
    <t>TC-AUTH-032</t>
  </si>
  <si>
    <t>CSRF защита</t>
  </si>
  <si>
    <t>Тест CSRF</t>
  </si>
  <si>
    <t>Запрос отклонён</t>
  </si>
  <si>
    <t>TC-AUTH-033</t>
  </si>
  <si>
    <t>Таймаут сессии</t>
  </si>
  <si>
    <t>Долгое бездействие</t>
  </si>
  <si>
    <t>Автоматический logout</t>
  </si>
  <si>
    <t>TC-AUTH-034</t>
  </si>
  <si>
    <t>Успешный logout + повторный вход</t>
  </si>
  <si>
    <t>Logout → Login</t>
  </si>
  <si>
    <t>Успешный повторный вход</t>
  </si>
  <si>
    <t>TC-AUTH-035</t>
  </si>
  <si>
    <t>Регистрация с минимальными данными</t>
  </si>
  <si>
    <t>Минимально необходимые поля</t>
  </si>
  <si>
    <t>TC-GRAPH-001</t>
  </si>
  <si>
    <t>Отображение графика по умолчанию</t>
  </si>
  <si>
    <t>Успешный вход</t>
  </si>
  <si>
    <t>График с дефолтными значениями</t>
  </si>
  <si>
    <t>TC-GRAPH-002</t>
  </si>
  <si>
    <t>Изменение ползунка A во всём диапазоне</t>
  </si>
  <si>
    <t>От -10.0 до +10.0 (шаг 0.1)</t>
  </si>
  <si>
    <t>Плавное обновление графика</t>
  </si>
  <si>
    <t>TC-GRAPH-003</t>
  </si>
  <si>
    <t>Изменение ползунка B во всём диапазоне</t>
  </si>
  <si>
    <t>От -10.0 до +10.0</t>
  </si>
  <si>
    <t>Плавное обновление</t>
  </si>
  <si>
    <t>TC-GRAPH-004</t>
  </si>
  <si>
    <t>Изменение ползунка C во всём диапазоне</t>
  </si>
  <si>
    <t>TC-GRAPH-005</t>
  </si>
  <si>
    <t>Одновременное изменение всех ползунков</t>
  </si>
  <si>
    <t>Быстрое движение A+B+C</t>
  </si>
  <si>
    <t>Реал-тайм обновление без лагов</t>
  </si>
  <si>
    <t>TC-GRAPH-006</t>
  </si>
  <si>
    <t>Вырожденный случай A=B=C=0</t>
  </si>
  <si>
    <t>Все ползунки = 0</t>
  </si>
  <si>
    <t>Корректное отображение</t>
  </si>
  <si>
    <t>TC-GRAPH-007</t>
  </si>
  <si>
    <t>Граничные значения минимальные</t>
  </si>
  <si>
    <t>Все = -10.0</t>
  </si>
  <si>
    <t>Нет ошибок</t>
  </si>
  <si>
    <t>TC-GRAPH-008</t>
  </si>
  <si>
    <t>Граничные значения максимальные</t>
  </si>
  <si>
    <t>Все = +10.0</t>
  </si>
  <si>
    <t>TC-GRAPH-009</t>
  </si>
  <si>
    <t>Дробные значения</t>
  </si>
  <si>
    <t>0.01 -5.55 9.87</t>
  </si>
  <si>
    <t>Точная математика</t>
  </si>
  <si>
    <t>TC-GRAPH-010</t>
  </si>
  <si>
    <t>Ввод значений с клавиатуры</t>
  </si>
  <si>
    <t>Ввести числа вручную</t>
  </si>
  <si>
    <t>График обновляется</t>
  </si>
  <si>
    <t>TC-GRAPH-011</t>
  </si>
  <si>
    <t>Производительность 500 изменений</t>
  </si>
  <si>
    <t>500 быстрых движений</t>
  </si>
  <si>
    <t>Время ≤ 250 мс</t>
  </si>
  <si>
    <t>TC-GRAPH-012</t>
  </si>
  <si>
    <t>Утечка памяти</t>
  </si>
  <si>
    <t>1000+ изменений</t>
  </si>
  <si>
    <t>Память стабильна</t>
  </si>
  <si>
    <t>TC-GRAPH-013</t>
  </si>
  <si>
    <t>Экспорт в PNG</t>
  </si>
  <si>
    <t>Export → PNG</t>
  </si>
  <si>
    <t>Файл сохраняется корректно</t>
  </si>
  <si>
    <t>TC-GRAPH-014</t>
  </si>
  <si>
    <t>Экспорт в SVG</t>
  </si>
  <si>
    <t>Export → SVG</t>
  </si>
  <si>
    <t>Векторный файл</t>
  </si>
  <si>
    <t>TC-GRAPH-015</t>
  </si>
  <si>
    <t>Сохранение в историю</t>
  </si>
  <si>
    <t>Создать → Save</t>
  </si>
  <si>
    <t>Запись в истории</t>
  </si>
  <si>
    <t>TC-GRAPH-016</t>
  </si>
  <si>
    <t>Загрузка из истории</t>
  </si>
  <si>
    <t>Выбрать сохранённый</t>
  </si>
  <si>
    <t>График восстанавливается</t>
  </si>
  <si>
    <t>TC-GRAPH-017</t>
  </si>
  <si>
    <t>Удаление из истории</t>
  </si>
  <si>
    <t>Удалить запись</t>
  </si>
  <si>
    <t>Запись исчезает</t>
  </si>
  <si>
    <t>TC-GRAPH-018</t>
  </si>
  <si>
    <t>Поведение при отключении сети</t>
  </si>
  <si>
    <t>Отключить интернет</t>
  </si>
  <si>
    <t>Сообщение об ошибке</t>
  </si>
  <si>
    <t>TC-GRAPH-019</t>
  </si>
  <si>
    <t>Восстановление соединения</t>
  </si>
  <si>
    <t>Подключить сеть</t>
  </si>
  <si>
    <t>Автообновление</t>
  </si>
  <si>
    <t>TC-GRAPH-020</t>
  </si>
  <si>
    <t>Работа при слабом интернете</t>
  </si>
  <si>
    <t>Эмуляция медленного соединения</t>
  </si>
  <si>
    <t>TC-GRAPH-021</t>
  </si>
  <si>
    <t>Тёмная тема графика</t>
  </si>
  <si>
    <t>Включить тёмную тему</t>
  </si>
  <si>
    <t>TC-GRAPH-022</t>
  </si>
  <si>
    <t>Адаптивность на разных разрешениях</t>
  </si>
  <si>
    <t>1280x720 и 1920x1080</t>
  </si>
  <si>
    <t>UI не ломается</t>
  </si>
  <si>
    <t>TC-GRAPH-023</t>
  </si>
  <si>
    <t>High DPI поддержка</t>
  </si>
  <si>
    <t>Масштаб 200%</t>
  </si>
  <si>
    <t>Чёткое отображение</t>
  </si>
  <si>
    <t>TC-GRAPH-024</t>
  </si>
  <si>
    <t>Keyboard only управление</t>
  </si>
  <si>
    <t>Только клавиатура</t>
  </si>
  <si>
    <t>Все функции доступны</t>
  </si>
  <si>
    <t>TC-GRAPH-025</t>
  </si>
  <si>
    <t>Стресс-тест 10000 изменений</t>
  </si>
  <si>
    <t>Очень большое количество движений</t>
  </si>
  <si>
    <t>Приложение стабильно</t>
  </si>
  <si>
    <t>TC-GRAPH-026</t>
  </si>
  <si>
    <t>Математическая корректность</t>
  </si>
  <si>
    <t>Сравнение с эталоном</t>
  </si>
  <si>
    <t>Результаты совпадают</t>
  </si>
  <si>
    <t>TC-GRAPH-027</t>
  </si>
  <si>
    <t>Экспорт после изменений</t>
  </si>
  <si>
    <t>Изменить → Export</t>
  </si>
  <si>
    <t>Экспорт актуального состояния</t>
  </si>
  <si>
    <t>TC-GRAPH-028</t>
  </si>
  <si>
    <t>Сохранение истории при закрытии</t>
  </si>
  <si>
    <t>Закрыть и открыть приложение</t>
  </si>
  <si>
    <t>История сохраняется</t>
  </si>
  <si>
    <t>TC-GRAPH-029</t>
  </si>
  <si>
    <t>Очистка истории</t>
  </si>
  <si>
    <t>Clear All</t>
  </si>
  <si>
    <t>Все записи удалены</t>
  </si>
  <si>
    <t>TC-GRAPH-030</t>
  </si>
  <si>
    <t>Максимальное количество в истории</t>
  </si>
  <si>
    <t>Добавить 100 графиков</t>
  </si>
  <si>
    <t>TC-INTEG-001</t>
  </si>
  <si>
    <t>Корректность математических расчётов</t>
  </si>
  <si>
    <t>Отправить известные значения</t>
  </si>
  <si>
    <t>Результат = эталон</t>
  </si>
  <si>
    <t>TC-INTEG-002</t>
  </si>
  <si>
    <t>Обработка timeout сервера</t>
  </si>
  <si>
    <t>Долгий ответ сервера</t>
  </si>
  <si>
    <t>Клиент показывает таймаут</t>
  </si>
  <si>
    <t>TC-INTEG-003</t>
  </si>
  <si>
    <t>Обработка HTTP 500</t>
  </si>
  <si>
    <t>Сервер возвращает 500</t>
  </si>
  <si>
    <t>Корректное сообщение</t>
  </si>
  <si>
    <t>TC-INTEG-004</t>
  </si>
  <si>
    <t>Некорректный JSON от сервера</t>
  </si>
  <si>
    <t>Плохой JSON</t>
  </si>
  <si>
    <t>Клиент не падает</t>
  </si>
  <si>
    <t>TC-INTEG-005</t>
  </si>
  <si>
    <t>Долгий ответ сервера (&gt;3 сек)</t>
  </si>
  <si>
    <t>Симуляция задержки</t>
  </si>
  <si>
    <t>Progress bar + обработка</t>
  </si>
  <si>
    <t>TC-INTEG-006</t>
  </si>
  <si>
    <t>Успешный клиент-сервер обмен</t>
  </si>
  <si>
    <t>Обычный запрос</t>
  </si>
  <si>
    <t>Данные передаются корректно</t>
  </si>
  <si>
    <t>TC-INTEG-007</t>
  </si>
  <si>
    <t>Потеря соединения</t>
  </si>
  <si>
    <t>Отключение сети</t>
  </si>
  <si>
    <t>Graceful degradation</t>
  </si>
  <si>
    <t>TC-INTEG-008</t>
  </si>
  <si>
    <t>Reconnect</t>
  </si>
  <si>
    <t>Автоматическое восстановление</t>
  </si>
  <si>
    <t>TC-INTEG-009</t>
  </si>
  <si>
    <t>Большой объём данных</t>
  </si>
  <si>
    <t>Максимальные значения</t>
  </si>
  <si>
    <t>Нет переполнения</t>
  </si>
  <si>
    <t>TC-INTEG-010</t>
  </si>
  <si>
    <t>Совместимость версий клиент-сервер</t>
  </si>
  <si>
    <t>Разные версии</t>
  </si>
  <si>
    <t>TC-UI-001</t>
  </si>
  <si>
    <t>Поддержка тёмной/светлой темы</t>
  </si>
  <si>
    <t>Переключение темы</t>
  </si>
  <si>
    <t>TC-UI-002</t>
  </si>
  <si>
    <t>Навигация только клавиатурой</t>
  </si>
  <si>
    <t>Tab + Enter</t>
  </si>
  <si>
    <t>Все элементы доступны</t>
  </si>
  <si>
    <t>TC-UI-003</t>
  </si>
  <si>
    <t>Адаптивность интерфейса</t>
  </si>
  <si>
    <t>Разные разрешения</t>
  </si>
  <si>
    <t>TC-UI-004</t>
  </si>
  <si>
    <t>High DPI масштабирование</t>
  </si>
  <si>
    <t>Масштаб 150-200%</t>
  </si>
  <si>
    <t>Чёткие элементы</t>
  </si>
  <si>
    <t>TC-UI-005</t>
  </si>
  <si>
    <t>Локализация (RU/EN)</t>
  </si>
  <si>
    <t>Переключение языка</t>
  </si>
  <si>
    <t>Все тексты переведены</t>
  </si>
  <si>
    <t>TC-UI-006</t>
  </si>
  <si>
    <t>Usability ползунков</t>
  </si>
  <si>
    <t>Удобство использования</t>
  </si>
  <si>
    <t>Интуитивно понятно</t>
  </si>
  <si>
    <t>TC-UI-007</t>
  </si>
  <si>
    <t>Визуальная доступность</t>
  </si>
  <si>
    <t>Проверка контраста</t>
  </si>
  <si>
    <t>Соответствует стандартам</t>
  </si>
  <si>
    <t>TC-PERF-001</t>
  </si>
  <si>
    <t>Время запуска приложения</t>
  </si>
  <si>
    <t>Холодный старт</t>
  </si>
  <si>
    <t>≤ 3 секунды</t>
  </si>
  <si>
    <t>TC-PERF-002</t>
  </si>
  <si>
    <t>Потребление памяти</t>
  </si>
  <si>
    <t>После 500 изменений</t>
  </si>
  <si>
    <t>Нет значительного роста</t>
  </si>
  <si>
    <t>TC-PERF-003</t>
  </si>
  <si>
    <t>Время ответа сервера</t>
  </si>
  <si>
    <t>Измерение</t>
  </si>
  <si>
    <t>≤ 500 мс</t>
  </si>
  <si>
    <t>TC-PERF-004</t>
  </si>
  <si>
    <t>Стресс-тест ползунков</t>
  </si>
  <si>
    <t>10000 изменений</t>
  </si>
  <si>
    <t>Стабильная работа</t>
  </si>
  <si>
    <t>TC-SEC-001</t>
  </si>
  <si>
    <t>Защита от brute force</t>
  </si>
  <si>
    <t>Много неверных попыток</t>
  </si>
  <si>
    <t>Блокировка</t>
  </si>
  <si>
    <t>TC-SEC-002</t>
  </si>
  <si>
    <t>HTTPS защита</t>
  </si>
  <si>
    <t>Анализ трафика</t>
  </si>
  <si>
    <t>Всё шифруется</t>
  </si>
  <si>
    <t>TC-SEC-003</t>
  </si>
  <si>
    <t>Хранение паролей</t>
  </si>
  <si>
    <t>Хэширование</t>
  </si>
  <si>
    <t>TC-SEC-004</t>
  </si>
  <si>
    <t>Валидация всех входных данных</t>
  </si>
  <si>
    <t>Странные символы</t>
  </si>
  <si>
    <t>TC-SEC-005</t>
  </si>
  <si>
    <t>CSRF / XSS защита</t>
  </si>
  <si>
    <t>Тесты атак</t>
  </si>
  <si>
    <t>Защищено</t>
  </si>
  <si>
    <t>2. Модуль Ползунков и Графика (GRAPH) — 30 тест-кейсов</t>
  </si>
  <si>
    <t>3. Интеграционное и Сетевое тестирование — 10 кейсов</t>
  </si>
  <si>
    <t>4. UI / Пользовательский интерфейс</t>
  </si>
  <si>
    <t>5. Performance / Производительность — 4 кейса</t>
  </si>
  <si>
    <t>6. Security / Безопасность — 5 кейсов</t>
  </si>
  <si>
    <t>PASS</t>
  </si>
  <si>
    <t>Добавлен logout_all на сервере + клиентская кнопка</t>
  </si>
  <si>
    <t>SESSION_TTL_MS = 30 минут + cleanupExpiredSessions()</t>
  </si>
  <si>
    <t>RATE_LIMIT_MAX_ATTEMPTS = 10 за 60 секунд</t>
  </si>
  <si>
    <t>refreshToken() обновляет каждые 15 минут</t>
  </si>
  <si>
    <t>3-шаговый процесс через ForgotPassword + Logout</t>
  </si>
  <si>
    <t>MAX_PASSWORD_LENGTH = 64 + regex {8,64}</t>
  </si>
  <si>
    <t>5 попыток -&gt; 15 мин блокировка</t>
  </si>
  <si>
    <t>onDisconnected() -&gt; handleClientDisconnect()</t>
  </si>
  <si>
    <t>logout команда -&gt; logoutSession()</t>
  </si>
  <si>
    <t>MAX_LOGIN_LENGTH = 16 + validateLogin()</t>
  </si>
  <si>
    <t>QSlider с делителем для дробных параметров</t>
  </si>
  <si>
    <t>iRangeZoom=true, iRangeDrag=true</t>
  </si>
  <si>
    <t>savePng() через QFileDialog</t>
  </si>
  <si>
    <t>saveSvg() через QFileDialog</t>
  </si>
  <si>
    <t>JSON формат с параметрами и цветами</t>
  </si>
  <si>
    <t>Чтение JSON, восстановление параметров</t>
  </si>
  <si>
    <t>QFile::remove() через QFileDialog</t>
  </si>
  <si>
    <t>m_sessionCheckTimer каждые 60 сек</t>
  </si>
  <si>
    <t>m_reconnectTimer, 3 сек, 5 попыток</t>
  </si>
  <si>
    <t>QColorDialog::getColor()</t>
  </si>
  <si>
    <t>setTabOrder + setFocusPolicy</t>
  </si>
  <si>
    <t>QMap m_cache с getCacheKey()</t>
  </si>
  <si>
    <t>Export работает с пустым графиком</t>
  </si>
  <si>
    <t>Кнопка Save в UI</t>
  </si>
  <si>
    <t>onClearGraph() -&gt; clear()</t>
  </si>
  <si>
    <t>reconnectTimer + обработка отключений</t>
  </si>
  <si>
    <t>Блокировка кнопок + индикация загрузки</t>
  </si>
  <si>
    <t>Автоматическое переподключение</t>
  </si>
  <si>
    <t>Серверная блокировка</t>
  </si>
  <si>
    <t>SMTP SSL (порт 465) + серверный SSL</t>
  </si>
  <si>
    <t>MAX_LENGTH константы + validate()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</si>
</sst>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yyyy\-mm\-dd;@"/>
  </numFmts>
  <fonts count="27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theme="1"/>
      <name val="Tahoma"/>
      <family val="2"/>
    </font>
    <font>
      <b/>
      <sz val="10"/>
      <color rgb="FF000000"/>
      <name val="Tahoma"/>
      <family val="2"/>
    </font>
    <font>
      <sz val="7"/>
      <name val="Segoe U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55">
    <xf numFmtId="0" fontId="0" fillId="0" borderId="0" xfId="0"/>
    <xf numFmtId="0" fontId="8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 applyAlignment="1"/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 applyBorder="1"/>
    <xf numFmtId="0" fontId="9" fillId="0" borderId="0" xfId="1" applyFont="1" applyBorder="1"/>
    <xf numFmtId="0" fontId="4" fillId="0" borderId="0" xfId="1" applyFont="1" applyBorder="1"/>
    <xf numFmtId="164" fontId="4" fillId="0" borderId="0" xfId="1" applyNumberFormat="1" applyFont="1" applyBorder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8" fillId="0" borderId="0" xfId="0" applyFont="1" applyBorder="1"/>
    <xf numFmtId="0" fontId="4" fillId="0" borderId="6" xfId="0" applyNumberFormat="1" applyFont="1" applyBorder="1" applyAlignment="1">
      <alignment horizontal="center"/>
    </xf>
    <xf numFmtId="0" fontId="4" fillId="0" borderId="6" xfId="0" applyNumberFormat="1" applyFont="1" applyBorder="1"/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/>
    </xf>
    <xf numFmtId="0" fontId="15" fillId="3" borderId="13" xfId="0" applyNumberFormat="1" applyFont="1" applyFill="1" applyBorder="1" applyAlignment="1">
      <alignment horizontal="center" wrapText="1"/>
    </xf>
    <xf numFmtId="0" fontId="15" fillId="3" borderId="14" xfId="0" applyNumberFormat="1" applyFont="1" applyFill="1" applyBorder="1" applyAlignment="1">
      <alignment horizontal="center" wrapText="1"/>
    </xf>
    <xf numFmtId="0" fontId="16" fillId="3" borderId="9" xfId="0" applyNumberFormat="1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left"/>
    </xf>
    <xf numFmtId="0" fontId="9" fillId="2" borderId="0" xfId="2" applyFont="1" applyFill="1" applyAlignment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Border="1" applyAlignment="1">
      <alignment horizontal="left" wrapText="1"/>
    </xf>
    <xf numFmtId="1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6" fillId="0" borderId="0" xfId="0" applyFont="1" applyBorder="1" applyAlignment="1"/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 applyAlignment="1"/>
    <xf numFmtId="0" fontId="19" fillId="0" borderId="0" xfId="0" applyFont="1" applyAlignment="1"/>
    <xf numFmtId="0" fontId="21" fillId="0" borderId="0" xfId="0" applyFont="1"/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2" fontId="6" fillId="0" borderId="1" xfId="0" applyNumberFormat="1" applyFont="1" applyBorder="1" applyAlignment="1">
      <alignment vertical="top" wrapText="1"/>
    </xf>
    <xf numFmtId="0" fontId="0" fillId="0" borderId="0" xfId="0" applyAlignment="1"/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32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6" fillId="0" borderId="22" xfId="0" applyFont="1" applyBorder="1" applyAlignment="1">
      <alignment vertical="top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top" wrapText="1"/>
    </xf>
    <xf numFmtId="2" fontId="0" fillId="0" borderId="0" xfId="0" applyNumberFormat="1" applyAlignment="1"/>
    <xf numFmtId="0" fontId="24" fillId="7" borderId="1" xfId="0" applyFont="1" applyFill="1" applyBorder="1" applyAlignment="1">
      <alignment horizontal="center" vertical="center" wrapText="1" shrinkToFit="1"/>
    </xf>
    <xf numFmtId="0" fontId="24" fillId="8" borderId="1" xfId="0" applyFont="1" applyFill="1" applyBorder="1" applyAlignment="1">
      <alignment horizontal="center" vertical="center" wrapText="1" shrinkToFit="1"/>
    </xf>
    <xf numFmtId="2" fontId="0" fillId="0" borderId="0" xfId="0" applyNumberForma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165" fontId="25" fillId="9" borderId="30" xfId="0" applyNumberFormat="1" applyFont="1" applyFill="1" applyBorder="1" applyAlignment="1">
      <alignment horizontal="left" vertical="center" wrapText="1"/>
    </xf>
    <xf numFmtId="165" fontId="6" fillId="9" borderId="0" xfId="0" applyNumberFormat="1" applyFont="1" applyFill="1" applyBorder="1" applyAlignment="1">
      <alignment horizontal="left" vertical="center" wrapText="1"/>
    </xf>
    <xf numFmtId="165" fontId="6" fillId="9" borderId="31" xfId="0" applyNumberFormat="1" applyFont="1" applyFill="1" applyBorder="1" applyAlignment="1">
      <alignment horizontal="left" vertical="center" wrapText="1"/>
    </xf>
    <xf numFmtId="165" fontId="22" fillId="9" borderId="30" xfId="0" applyNumberFormat="1" applyFont="1" applyFill="1" applyBorder="1" applyAlignment="1">
      <alignment horizontal="left" vertical="center" wrapText="1"/>
    </xf>
    <xf numFmtId="165" fontId="22" fillId="9" borderId="0" xfId="0" applyNumberFormat="1" applyFont="1" applyFill="1" applyBorder="1" applyAlignment="1">
      <alignment horizontal="left" vertical="center" wrapText="1"/>
    </xf>
    <xf numFmtId="165" fontId="22" fillId="9" borderId="31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34" xfId="2" applyFont="1" applyFill="1" applyBorder="1" applyAlignment="1">
      <alignment horizontal="left" wrapText="1"/>
    </xf>
    <xf numFmtId="0" fontId="4" fillId="2" borderId="28" xfId="2" applyFont="1" applyFill="1" applyBorder="1" applyAlignment="1">
      <alignment horizontal="left" wrapText="1"/>
    </xf>
    <xf numFmtId="0" fontId="4" fillId="2" borderId="35" xfId="2" applyFont="1" applyFill="1" applyBorder="1" applyAlignment="1">
      <alignment horizontal="left" wrapText="1"/>
    </xf>
    <xf numFmtId="0" fontId="15" fillId="5" borderId="21" xfId="2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20" fillId="6" borderId="22" xfId="0" applyFont="1" applyFill="1" applyBorder="1" applyAlignment="1">
      <alignment horizontal="left" vertical="center"/>
    </xf>
    <xf numFmtId="0" fontId="20" fillId="6" borderId="17" xfId="0" applyFont="1" applyFill="1" applyBorder="1" applyAlignment="1">
      <alignment horizontal="left" vertical="center"/>
    </xf>
    <xf numFmtId="0" fontId="15" fillId="5" borderId="21" xfId="2" applyFont="1" applyFill="1" applyBorder="1" applyAlignment="1">
      <alignment vertical="center" wrapText="1"/>
    </xf>
    <xf numFmtId="0" fontId="15" fillId="5" borderId="29" xfId="2" applyFont="1" applyFill="1" applyBorder="1" applyAlignment="1">
      <alignment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15" fillId="5" borderId="0" xfId="2" applyFont="1" applyFill="1" applyBorder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32" xfId="2" applyFont="1" applyFill="1" applyBorder="1" applyAlignment="1">
      <alignment horizontal="center" vertical="center" wrapText="1"/>
    </xf>
    <xf numFmtId="0" fontId="15" fillId="5" borderId="33" xfId="2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</cellXfs>
  <cellStyles count="4">
    <cellStyle name="Normal_Functional Test Case v1.0" xfId="1" xr:uid="{00000000-0005-0000-0000-000000000000}"/>
    <cellStyle name="Normal_Sheet1_Vanco_CR022a1_TestCase_v0.1" xfId="2" xr:uid="{00000000-0005-0000-0000-000001000000}"/>
    <cellStyle name="Обычный" xfId="0" builtinId="0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activeCell="H12" sqref="H12"/>
    </sheetView>
  </sheetViews>
  <sheetFormatPr defaultColWidth="9" defaultRowHeight="13.5"/>
  <cols>
    <col min="1" max="1" width="9" style="1"/>
    <col min="2" max="2" width="14.265625" style="1" customWidth="1"/>
    <col min="3" max="3" width="9" style="1"/>
    <col min="4" max="4" width="15" style="1" customWidth="1"/>
    <col min="5" max="5" width="32.46484375" style="1" customWidth="1"/>
    <col min="6" max="6" width="23.9296875" style="1" customWidth="1"/>
    <col min="7" max="7" width="20.46484375" style="1" customWidth="1"/>
    <col min="8" max="8" width="26.73046875" style="1" customWidth="1"/>
    <col min="9" max="16384" width="9" style="1"/>
  </cols>
  <sheetData>
    <row r="1" spans="1:8">
      <c r="B1" s="30"/>
      <c r="C1" s="30"/>
    </row>
    <row r="2" spans="1:8" ht="22.15">
      <c r="A2" s="25"/>
      <c r="B2" s="26" t="s">
        <v>2</v>
      </c>
      <c r="C2" s="25"/>
      <c r="D2" s="25"/>
      <c r="E2" s="25"/>
      <c r="F2" s="25"/>
      <c r="G2" s="25"/>
    </row>
    <row r="3" spans="1:8">
      <c r="A3" s="25"/>
      <c r="B3" s="27" t="s">
        <v>30</v>
      </c>
      <c r="C3" s="62">
        <v>1</v>
      </c>
      <c r="D3" s="28"/>
      <c r="E3" s="25"/>
      <c r="F3" s="25"/>
      <c r="G3" s="25"/>
    </row>
    <row r="4" spans="1:8">
      <c r="A4" s="25"/>
      <c r="B4" s="27" t="s">
        <v>12</v>
      </c>
      <c r="C4" s="10">
        <v>46150</v>
      </c>
      <c r="D4" s="10"/>
      <c r="E4" s="25"/>
      <c r="F4" s="25"/>
      <c r="G4" s="25"/>
    </row>
    <row r="5" spans="1:8" ht="13.9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31</v>
      </c>
      <c r="C6" s="117" t="s">
        <v>40</v>
      </c>
      <c r="D6" s="117"/>
      <c r="E6" s="118"/>
      <c r="F6" s="25"/>
      <c r="G6" s="25"/>
    </row>
    <row r="7" spans="1:8">
      <c r="A7" s="25"/>
      <c r="B7" s="27"/>
      <c r="C7" s="117"/>
      <c r="D7" s="117"/>
      <c r="E7" s="118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8"/>
      <c r="C9" s="18"/>
      <c r="D9" s="18"/>
      <c r="E9" s="18"/>
      <c r="F9" s="25"/>
      <c r="G9" s="25"/>
    </row>
    <row r="10" spans="1:8">
      <c r="B10" s="5" t="s">
        <v>21</v>
      </c>
    </row>
    <row r="11" spans="1:8" s="35" customFormat="1" ht="25.5">
      <c r="B11" s="51" t="s">
        <v>9</v>
      </c>
      <c r="C11" s="52" t="s">
        <v>22</v>
      </c>
      <c r="D11" s="52" t="s">
        <v>5</v>
      </c>
      <c r="E11" s="52" t="s">
        <v>6</v>
      </c>
      <c r="F11" s="52" t="s">
        <v>11</v>
      </c>
      <c r="G11" s="53" t="s">
        <v>10</v>
      </c>
      <c r="H11" s="86" t="s">
        <v>23</v>
      </c>
    </row>
    <row r="12" spans="1:8" s="35" customFormat="1">
      <c r="B12" s="37">
        <v>46150</v>
      </c>
      <c r="C12" s="38" t="s">
        <v>36</v>
      </c>
      <c r="D12" s="39"/>
      <c r="E12" s="40" t="s">
        <v>41</v>
      </c>
      <c r="F12" s="76" t="s">
        <v>42</v>
      </c>
      <c r="G12" s="85"/>
      <c r="H12" s="87"/>
    </row>
    <row r="13" spans="1:8" s="35" customFormat="1">
      <c r="B13" s="100"/>
      <c r="C13" s="38"/>
      <c r="D13" s="39"/>
      <c r="E13" s="40"/>
      <c r="F13" s="76"/>
      <c r="G13" s="99"/>
      <c r="H13" s="87"/>
    </row>
    <row r="14" spans="1:8" s="36" customFormat="1" ht="12.75">
      <c r="B14" s="37"/>
      <c r="C14" s="38"/>
      <c r="D14" s="39"/>
      <c r="E14" s="40"/>
      <c r="F14" s="76"/>
      <c r="G14" s="99"/>
      <c r="H14" s="87"/>
    </row>
    <row r="15" spans="1:8" s="36" customFormat="1" ht="12.75">
      <c r="B15" s="44"/>
      <c r="C15" s="45"/>
      <c r="D15" s="42"/>
      <c r="E15" s="42"/>
      <c r="F15" s="42"/>
      <c r="G15" s="42"/>
      <c r="H15" s="43"/>
    </row>
    <row r="16" spans="1:8" s="35" customFormat="1">
      <c r="B16" s="37"/>
      <c r="C16" s="41"/>
      <c r="D16" s="39"/>
      <c r="E16" s="42"/>
      <c r="F16" s="42"/>
      <c r="G16" s="42"/>
      <c r="H16" s="46"/>
    </row>
    <row r="17" spans="2:8" s="35" customFormat="1">
      <c r="B17" s="44"/>
      <c r="C17" s="45"/>
      <c r="D17" s="42"/>
      <c r="E17" s="42"/>
      <c r="F17" s="42"/>
      <c r="G17" s="42"/>
      <c r="H17" s="43"/>
    </row>
    <row r="18" spans="2:8" s="35" customFormat="1">
      <c r="B18" s="44"/>
      <c r="C18" s="45"/>
      <c r="D18" s="42"/>
      <c r="E18" s="42"/>
      <c r="F18" s="42"/>
      <c r="G18" s="42"/>
      <c r="H18" s="43"/>
    </row>
    <row r="19" spans="2:8" s="35" customFormat="1">
      <c r="B19" s="44"/>
      <c r="C19" s="45"/>
      <c r="D19" s="42"/>
      <c r="E19" s="42"/>
      <c r="F19" s="42"/>
      <c r="G19" s="42"/>
      <c r="H19" s="43"/>
    </row>
    <row r="20" spans="2:8" s="35" customFormat="1">
      <c r="B20" s="44"/>
      <c r="C20" s="45"/>
      <c r="D20" s="42"/>
      <c r="E20" s="42"/>
      <c r="F20" s="42"/>
      <c r="G20" s="42"/>
      <c r="H20" s="43"/>
    </row>
    <row r="21" spans="2:8" s="35" customFormat="1">
      <c r="B21" s="44"/>
      <c r="C21" s="45"/>
      <c r="D21" s="42"/>
      <c r="E21" s="42"/>
      <c r="F21" s="42"/>
      <c r="G21" s="42"/>
      <c r="H21" s="43"/>
    </row>
    <row r="22" spans="2:8" s="35" customFormat="1">
      <c r="B22" s="44"/>
      <c r="C22" s="45"/>
      <c r="D22" s="42"/>
      <c r="E22" s="42"/>
      <c r="F22" s="42"/>
      <c r="G22" s="42"/>
      <c r="H22" s="43"/>
    </row>
    <row r="23" spans="2:8" s="35" customFormat="1">
      <c r="B23" s="47"/>
      <c r="C23" s="48"/>
      <c r="D23" s="49"/>
      <c r="E23" s="49"/>
      <c r="F23" s="49"/>
      <c r="G23" s="49"/>
      <c r="H23" s="50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90"/>
  <sheetViews>
    <sheetView tabSelected="1" zoomScale="38" zoomScaleNormal="85" workbookViewId="0">
      <selection activeCell="R16" sqref="R16"/>
    </sheetView>
  </sheetViews>
  <sheetFormatPr defaultRowHeight="13.5"/>
  <cols>
    <col min="1" max="1" width="15.73046875" customWidth="1"/>
    <col min="2" max="2" width="38.796875" style="94" customWidth="1"/>
    <col min="3" max="3" width="42.06640625" customWidth="1"/>
    <col min="4" max="4" width="32.265625" customWidth="1"/>
    <col min="6" max="6" width="23.59765625" customWidth="1"/>
    <col min="7" max="7" width="18.46484375" hidden="1" customWidth="1"/>
    <col min="8" max="8" width="17.265625" customWidth="1"/>
    <col min="9" max="9" width="9" style="98"/>
    <col min="10" max="10" width="18" style="96" customWidth="1"/>
  </cols>
  <sheetData>
    <row r="1" spans="1:11" s="2" customFormat="1" ht="12.75" customHeight="1">
      <c r="A1" s="63" t="s">
        <v>2</v>
      </c>
      <c r="B1" s="125"/>
      <c r="C1" s="125"/>
      <c r="D1" s="125"/>
      <c r="E1" s="6"/>
      <c r="F1" s="6"/>
      <c r="G1" s="6"/>
      <c r="H1" s="6"/>
      <c r="I1" s="101"/>
      <c r="J1" s="102"/>
      <c r="K1" s="7"/>
    </row>
    <row r="2" spans="1:11" s="2" customFormat="1" ht="11.25" customHeight="1" thickBot="1">
      <c r="A2" s="7"/>
      <c r="B2" s="126"/>
      <c r="C2" s="126"/>
      <c r="D2" s="126"/>
      <c r="E2" s="6"/>
      <c r="F2" s="6"/>
      <c r="G2" s="6"/>
      <c r="H2" s="6"/>
      <c r="I2" s="101"/>
      <c r="J2" s="102"/>
      <c r="K2" s="7"/>
    </row>
    <row r="3" spans="1:11" s="3" customFormat="1" ht="15" customHeight="1">
      <c r="A3" s="64" t="s">
        <v>32</v>
      </c>
      <c r="B3" s="136" t="s">
        <v>37</v>
      </c>
      <c r="C3" s="137"/>
      <c r="D3" s="138"/>
      <c r="E3" s="67"/>
      <c r="F3" s="67"/>
      <c r="G3" s="67"/>
      <c r="H3" s="135"/>
      <c r="I3" s="135"/>
      <c r="J3" s="135"/>
      <c r="K3" s="8"/>
    </row>
    <row r="4" spans="1:11" s="3" customFormat="1" ht="12.5" customHeight="1">
      <c r="A4" s="71" t="s">
        <v>33</v>
      </c>
      <c r="B4" s="141" t="s">
        <v>38</v>
      </c>
      <c r="C4" s="142"/>
      <c r="D4" s="143"/>
      <c r="E4" s="67"/>
      <c r="F4" s="67"/>
      <c r="G4" s="67"/>
      <c r="H4" s="135"/>
      <c r="I4" s="135"/>
      <c r="J4" s="135"/>
      <c r="K4" s="8"/>
    </row>
    <row r="5" spans="1:11" s="80" customFormat="1" ht="25.5">
      <c r="A5" s="71" t="s">
        <v>27</v>
      </c>
      <c r="B5" s="128" t="s">
        <v>39</v>
      </c>
      <c r="C5" s="129"/>
      <c r="D5" s="130"/>
      <c r="E5" s="78"/>
      <c r="F5" s="78"/>
      <c r="G5" s="78"/>
      <c r="H5" s="134"/>
      <c r="I5" s="134"/>
      <c r="J5" s="134"/>
      <c r="K5" s="79"/>
    </row>
    <row r="6" spans="1:11" s="3" customFormat="1" ht="15" customHeight="1">
      <c r="A6" s="11" t="s">
        <v>34</v>
      </c>
      <c r="B6" s="91">
        <f>COUNTIF(I12:I108,"Pass")</f>
        <v>91</v>
      </c>
      <c r="C6" s="9" t="s">
        <v>35</v>
      </c>
      <c r="D6" s="12">
        <f>COUNTIF(I13:I731,"Pending")</f>
        <v>0</v>
      </c>
      <c r="E6" s="104"/>
      <c r="F6" s="104"/>
      <c r="G6" s="104"/>
      <c r="H6" s="135"/>
      <c r="I6" s="135"/>
      <c r="J6" s="135"/>
      <c r="K6" s="8"/>
    </row>
    <row r="7" spans="1:11" s="3" customFormat="1" ht="15" customHeight="1" thickBot="1">
      <c r="A7" s="13" t="s">
        <v>0</v>
      </c>
      <c r="B7" s="92">
        <f>COUNTIF(I13:I108,"Fail")</f>
        <v>0</v>
      </c>
      <c r="C7" s="29" t="s">
        <v>25</v>
      </c>
      <c r="D7" s="65">
        <f>COUNTA(A12:A108) -15</f>
        <v>82</v>
      </c>
      <c r="E7" s="68"/>
      <c r="F7" s="68"/>
      <c r="G7" s="68"/>
      <c r="H7" s="135"/>
      <c r="I7" s="135"/>
      <c r="J7" s="135"/>
      <c r="K7" s="8"/>
    </row>
    <row r="8" spans="1:11" s="3" customFormat="1" ht="15" customHeight="1">
      <c r="A8" s="127"/>
      <c r="B8" s="127"/>
      <c r="C8" s="127"/>
      <c r="D8" s="127"/>
      <c r="E8" s="104"/>
      <c r="F8" s="104"/>
      <c r="G8" s="104"/>
      <c r="H8" s="104"/>
      <c r="I8" s="103"/>
      <c r="J8" s="103"/>
      <c r="K8" s="8"/>
    </row>
    <row r="9" spans="1:11" s="82" customFormat="1" ht="12" customHeight="1">
      <c r="A9" s="139" t="s">
        <v>28</v>
      </c>
      <c r="B9" s="146" t="s">
        <v>3</v>
      </c>
      <c r="C9" s="139" t="s">
        <v>13</v>
      </c>
      <c r="D9" s="148" t="s">
        <v>26</v>
      </c>
      <c r="E9" s="149"/>
      <c r="F9" s="149"/>
      <c r="G9" s="150"/>
      <c r="H9" s="139" t="s">
        <v>24</v>
      </c>
      <c r="I9" s="139" t="s">
        <v>4</v>
      </c>
      <c r="J9" s="139" t="s">
        <v>29</v>
      </c>
      <c r="K9" s="81"/>
    </row>
    <row r="10" spans="1:11" s="70" customFormat="1" ht="12" customHeight="1">
      <c r="A10" s="140"/>
      <c r="B10" s="147"/>
      <c r="C10" s="140"/>
      <c r="D10" s="151"/>
      <c r="E10" s="152"/>
      <c r="F10" s="152"/>
      <c r="G10" s="153"/>
      <c r="H10" s="140"/>
      <c r="I10" s="140"/>
      <c r="J10" s="140"/>
      <c r="K10" s="69"/>
    </row>
    <row r="11" spans="1:11" s="83" customFormat="1" ht="15">
      <c r="A11" s="144"/>
      <c r="B11" s="144"/>
      <c r="C11" s="144"/>
      <c r="D11" s="144"/>
      <c r="E11" s="144"/>
      <c r="F11" s="144"/>
      <c r="G11" s="144"/>
      <c r="H11" s="144"/>
      <c r="I11" s="144"/>
      <c r="J11" s="145"/>
    </row>
    <row r="12" spans="1:11" s="4" customFormat="1" ht="104" customHeight="1">
      <c r="A12" s="131" t="s">
        <v>43</v>
      </c>
      <c r="B12" s="132"/>
      <c r="C12" s="132"/>
      <c r="D12" s="132"/>
      <c r="E12" s="132"/>
      <c r="F12" s="132"/>
      <c r="G12" s="132"/>
      <c r="H12" s="132"/>
      <c r="I12" s="132"/>
      <c r="J12" s="133"/>
    </row>
    <row r="13" spans="1:11" ht="104" customHeight="1">
      <c r="A13" s="109" t="s">
        <v>44</v>
      </c>
      <c r="B13" s="109" t="s">
        <v>45</v>
      </c>
      <c r="C13" s="109" t="s">
        <v>95</v>
      </c>
      <c r="D13" s="109" t="s">
        <v>96</v>
      </c>
      <c r="E13" s="105"/>
      <c r="F13" s="105"/>
      <c r="G13" s="89"/>
      <c r="H13" s="114">
        <v>46158</v>
      </c>
      <c r="I13" s="113" t="s">
        <v>398</v>
      </c>
      <c r="J13" s="115"/>
    </row>
    <row r="14" spans="1:11" ht="104" customHeight="1">
      <c r="A14" s="110" t="s">
        <v>46</v>
      </c>
      <c r="B14" s="110" t="s">
        <v>47</v>
      </c>
      <c r="C14" s="110" t="s">
        <v>97</v>
      </c>
      <c r="D14" s="110" t="s">
        <v>48</v>
      </c>
      <c r="E14" s="105"/>
      <c r="F14" s="105"/>
      <c r="G14" s="108"/>
      <c r="H14" s="114">
        <v>46158</v>
      </c>
      <c r="I14" s="113" t="s">
        <v>398</v>
      </c>
      <c r="J14" s="115"/>
    </row>
    <row r="15" spans="1:11" ht="104" customHeight="1">
      <c r="A15" s="109" t="s">
        <v>49</v>
      </c>
      <c r="B15" s="109" t="s">
        <v>50</v>
      </c>
      <c r="C15" s="109" t="s">
        <v>51</v>
      </c>
      <c r="D15" s="109" t="s">
        <v>52</v>
      </c>
      <c r="E15" s="105"/>
      <c r="F15" s="105"/>
      <c r="G15" s="89"/>
      <c r="H15" s="114">
        <v>46158</v>
      </c>
      <c r="I15" s="113" t="s">
        <v>398</v>
      </c>
      <c r="J15" s="116"/>
    </row>
    <row r="16" spans="1:11" ht="104" customHeight="1">
      <c r="A16" s="110" t="s">
        <v>53</v>
      </c>
      <c r="B16" s="110" t="s">
        <v>54</v>
      </c>
      <c r="C16" s="110" t="s">
        <v>55</v>
      </c>
      <c r="D16" s="110" t="s">
        <v>56</v>
      </c>
      <c r="E16" s="105"/>
      <c r="F16" s="105"/>
      <c r="G16" s="89"/>
      <c r="H16" s="114">
        <v>46158</v>
      </c>
      <c r="I16" s="113" t="s">
        <v>398</v>
      </c>
      <c r="J16" s="112"/>
    </row>
    <row r="17" spans="1:10" ht="104" customHeight="1">
      <c r="A17" s="109" t="s">
        <v>57</v>
      </c>
      <c r="B17" s="109" t="s">
        <v>58</v>
      </c>
      <c r="C17" s="109" t="s">
        <v>59</v>
      </c>
      <c r="D17" s="109" t="s">
        <v>60</v>
      </c>
      <c r="E17" s="105"/>
      <c r="F17" s="105"/>
      <c r="G17" s="89"/>
      <c r="H17" s="114">
        <v>46158</v>
      </c>
      <c r="I17" s="113" t="s">
        <v>398</v>
      </c>
      <c r="J17" s="112"/>
    </row>
    <row r="18" spans="1:10" ht="104" customHeight="1">
      <c r="A18" s="110" t="s">
        <v>61</v>
      </c>
      <c r="B18" s="110" t="s">
        <v>62</v>
      </c>
      <c r="C18" s="110" t="s">
        <v>98</v>
      </c>
      <c r="D18" s="110" t="s">
        <v>99</v>
      </c>
      <c r="E18" s="105"/>
      <c r="F18" s="105"/>
      <c r="G18" s="89"/>
      <c r="H18" s="114">
        <v>46158</v>
      </c>
      <c r="I18" s="113" t="s">
        <v>398</v>
      </c>
      <c r="J18" s="112"/>
    </row>
    <row r="19" spans="1:10" ht="104" customHeight="1">
      <c r="A19" s="109" t="s">
        <v>63</v>
      </c>
      <c r="B19" s="109" t="s">
        <v>64</v>
      </c>
      <c r="C19" s="109" t="s">
        <v>65</v>
      </c>
      <c r="D19" s="109" t="s">
        <v>100</v>
      </c>
      <c r="E19" s="105"/>
      <c r="F19" s="105"/>
      <c r="G19" s="89"/>
      <c r="H19" s="114">
        <v>46158</v>
      </c>
      <c r="I19" s="113" t="s">
        <v>398</v>
      </c>
      <c r="J19" s="112"/>
    </row>
    <row r="20" spans="1:10" ht="104" customHeight="1">
      <c r="A20" s="110" t="s">
        <v>66</v>
      </c>
      <c r="B20" s="110" t="s">
        <v>67</v>
      </c>
      <c r="C20" s="110" t="s">
        <v>68</v>
      </c>
      <c r="D20" s="110" t="s">
        <v>100</v>
      </c>
      <c r="E20" s="105"/>
      <c r="F20" s="105"/>
      <c r="G20" s="89"/>
      <c r="H20" s="114">
        <v>46158</v>
      </c>
      <c r="I20" s="113" t="s">
        <v>398</v>
      </c>
      <c r="J20" s="112"/>
    </row>
    <row r="21" spans="1:10" ht="104" customHeight="1">
      <c r="A21" s="109" t="s">
        <v>69</v>
      </c>
      <c r="B21" s="109" t="s">
        <v>70</v>
      </c>
      <c r="C21" s="109" t="s">
        <v>71</v>
      </c>
      <c r="D21" s="109" t="s">
        <v>101</v>
      </c>
      <c r="E21" s="105"/>
      <c r="F21" s="105"/>
      <c r="G21" s="89"/>
      <c r="H21" s="114">
        <v>46158</v>
      </c>
      <c r="I21" s="113" t="s">
        <v>398</v>
      </c>
      <c r="J21" s="112"/>
    </row>
    <row r="22" spans="1:10" ht="104" customHeight="1">
      <c r="A22" s="110" t="s">
        <v>72</v>
      </c>
      <c r="B22" s="110" t="s">
        <v>73</v>
      </c>
      <c r="C22" s="110" t="s">
        <v>74</v>
      </c>
      <c r="D22" s="110" t="s">
        <v>75</v>
      </c>
      <c r="E22" s="105"/>
      <c r="F22" s="105"/>
      <c r="G22" s="89"/>
      <c r="H22" s="114">
        <v>46158</v>
      </c>
      <c r="I22" s="113" t="s">
        <v>398</v>
      </c>
      <c r="J22" s="112"/>
    </row>
    <row r="23" spans="1:10" ht="104" customHeight="1">
      <c r="A23" s="109" t="s">
        <v>76</v>
      </c>
      <c r="B23" s="109" t="s">
        <v>77</v>
      </c>
      <c r="C23" s="109" t="s">
        <v>102</v>
      </c>
      <c r="D23" s="109" t="s">
        <v>78</v>
      </c>
      <c r="E23" s="105"/>
      <c r="F23" s="105"/>
      <c r="G23" s="89"/>
      <c r="H23" s="114">
        <v>46158</v>
      </c>
      <c r="I23" s="113" t="s">
        <v>398</v>
      </c>
      <c r="J23" s="112"/>
    </row>
    <row r="24" spans="1:10" ht="104" customHeight="1">
      <c r="A24" s="110" t="s">
        <v>79</v>
      </c>
      <c r="B24" s="110" t="s">
        <v>80</v>
      </c>
      <c r="C24" s="110" t="s">
        <v>81</v>
      </c>
      <c r="D24" s="110" t="s">
        <v>82</v>
      </c>
      <c r="E24" s="105"/>
      <c r="F24" s="105"/>
      <c r="G24" s="108"/>
      <c r="H24" s="114">
        <v>46158</v>
      </c>
      <c r="I24" s="113" t="s">
        <v>398</v>
      </c>
      <c r="J24" s="112"/>
    </row>
    <row r="25" spans="1:10" ht="104" customHeight="1">
      <c r="A25" s="109" t="s">
        <v>83</v>
      </c>
      <c r="B25" s="109" t="s">
        <v>84</v>
      </c>
      <c r="C25" s="109" t="s">
        <v>103</v>
      </c>
      <c r="D25" s="109" t="s">
        <v>85</v>
      </c>
      <c r="E25" s="105"/>
      <c r="F25" s="105"/>
      <c r="G25" s="89"/>
      <c r="H25" s="114">
        <v>46158</v>
      </c>
      <c r="I25" s="113" t="s">
        <v>398</v>
      </c>
      <c r="J25" s="112"/>
    </row>
    <row r="26" spans="1:10" ht="104" customHeight="1">
      <c r="A26" s="110" t="s">
        <v>86</v>
      </c>
      <c r="B26" s="110" t="s">
        <v>87</v>
      </c>
      <c r="C26" s="110" t="s">
        <v>88</v>
      </c>
      <c r="D26" s="110" t="s">
        <v>89</v>
      </c>
      <c r="E26" s="105"/>
      <c r="F26" s="105"/>
      <c r="G26" s="89"/>
      <c r="H26" s="114">
        <v>46158</v>
      </c>
      <c r="I26" s="113" t="s">
        <v>398</v>
      </c>
      <c r="J26" s="154" t="s">
        <v>399</v>
      </c>
    </row>
    <row r="27" spans="1:10" ht="104" customHeight="1">
      <c r="A27" s="109" t="s">
        <v>90</v>
      </c>
      <c r="B27" s="109" t="s">
        <v>104</v>
      </c>
      <c r="C27" s="109" t="s">
        <v>91</v>
      </c>
      <c r="D27" s="109" t="s">
        <v>92</v>
      </c>
      <c r="E27" s="105"/>
      <c r="F27" s="105"/>
      <c r="G27" s="89"/>
      <c r="H27" s="114">
        <v>46158</v>
      </c>
      <c r="I27" s="113" t="s">
        <v>398</v>
      </c>
      <c r="J27" s="154" t="s">
        <v>400</v>
      </c>
    </row>
    <row r="28" spans="1:10" ht="104" customHeight="1">
      <c r="A28" s="110" t="s">
        <v>93</v>
      </c>
      <c r="B28" s="110" t="s">
        <v>94</v>
      </c>
      <c r="C28" s="110" t="s">
        <v>105</v>
      </c>
      <c r="D28" s="110" t="s">
        <v>106</v>
      </c>
      <c r="E28" s="105"/>
      <c r="F28" s="105"/>
      <c r="G28" s="89"/>
      <c r="H28" s="114">
        <v>46158</v>
      </c>
      <c r="I28" s="113" t="s">
        <v>398</v>
      </c>
      <c r="J28" s="112"/>
    </row>
    <row r="29" spans="1:10" ht="104" customHeight="1">
      <c r="A29" s="109" t="s">
        <v>107</v>
      </c>
      <c r="B29" s="109" t="s">
        <v>108</v>
      </c>
      <c r="C29" s="109" t="s">
        <v>109</v>
      </c>
      <c r="D29" s="109" t="s">
        <v>110</v>
      </c>
      <c r="E29" s="105"/>
      <c r="F29" s="105"/>
      <c r="G29" s="108"/>
      <c r="H29" s="114">
        <v>46158</v>
      </c>
      <c r="I29" s="113" t="s">
        <v>398</v>
      </c>
      <c r="J29" s="154" t="s">
        <v>401</v>
      </c>
    </row>
    <row r="30" spans="1:10" ht="104" customHeight="1">
      <c r="A30" s="110" t="s">
        <v>111</v>
      </c>
      <c r="B30" s="110" t="s">
        <v>112</v>
      </c>
      <c r="C30" s="110" t="s">
        <v>113</v>
      </c>
      <c r="D30" s="110" t="s">
        <v>114</v>
      </c>
      <c r="E30" s="105"/>
      <c r="F30" s="105"/>
      <c r="G30" s="108"/>
      <c r="H30" s="114">
        <v>46158</v>
      </c>
      <c r="I30" s="113" t="s">
        <v>398</v>
      </c>
      <c r="J30" s="154" t="s">
        <v>402</v>
      </c>
    </row>
    <row r="31" spans="1:10" ht="104" customHeight="1">
      <c r="A31" s="109" t="s">
        <v>115</v>
      </c>
      <c r="B31" s="109" t="s">
        <v>116</v>
      </c>
      <c r="C31" s="109" t="s">
        <v>117</v>
      </c>
      <c r="D31" s="109" t="s">
        <v>118</v>
      </c>
      <c r="E31" s="105"/>
      <c r="F31" s="105"/>
      <c r="G31" s="89"/>
      <c r="H31" s="114">
        <v>46158</v>
      </c>
      <c r="I31" s="113" t="s">
        <v>398</v>
      </c>
      <c r="J31" s="112"/>
    </row>
    <row r="32" spans="1:10" ht="104" customHeight="1">
      <c r="A32" s="110" t="s">
        <v>119</v>
      </c>
      <c r="B32" s="110" t="s">
        <v>120</v>
      </c>
      <c r="C32" s="110" t="s">
        <v>121</v>
      </c>
      <c r="D32" s="110" t="s">
        <v>122</v>
      </c>
      <c r="E32" s="105"/>
      <c r="F32" s="105"/>
      <c r="G32" s="89"/>
      <c r="H32" s="114">
        <v>46158</v>
      </c>
      <c r="I32" s="113" t="s">
        <v>398</v>
      </c>
      <c r="J32" s="112"/>
    </row>
    <row r="33" spans="1:10" ht="104" customHeight="1">
      <c r="A33" s="109" t="s">
        <v>123</v>
      </c>
      <c r="B33" s="109" t="s">
        <v>124</v>
      </c>
      <c r="C33" s="109" t="s">
        <v>125</v>
      </c>
      <c r="D33" s="109" t="s">
        <v>126</v>
      </c>
      <c r="E33" s="105"/>
      <c r="F33" s="105"/>
      <c r="G33" s="89"/>
      <c r="H33" s="114">
        <v>46158</v>
      </c>
      <c r="I33" s="113" t="s">
        <v>398</v>
      </c>
      <c r="J33" s="112"/>
    </row>
    <row r="34" spans="1:10" ht="104" customHeight="1">
      <c r="A34" s="110" t="s">
        <v>127</v>
      </c>
      <c r="B34" s="110" t="s">
        <v>128</v>
      </c>
      <c r="C34" s="110" t="s">
        <v>129</v>
      </c>
      <c r="D34" s="110" t="s">
        <v>130</v>
      </c>
      <c r="E34" s="105"/>
      <c r="F34" s="105"/>
      <c r="G34" s="89"/>
      <c r="H34" s="114">
        <v>46158</v>
      </c>
      <c r="I34" s="113" t="s">
        <v>398</v>
      </c>
      <c r="J34" s="154" t="s">
        <v>403</v>
      </c>
    </row>
    <row r="35" spans="1:10" ht="104" customHeight="1">
      <c r="A35" s="109" t="s">
        <v>131</v>
      </c>
      <c r="B35" s="109" t="s">
        <v>132</v>
      </c>
      <c r="C35" s="109" t="s">
        <v>133</v>
      </c>
      <c r="D35" s="109" t="s">
        <v>134</v>
      </c>
      <c r="E35" s="105"/>
      <c r="F35" s="105"/>
      <c r="G35" s="89"/>
      <c r="H35" s="114">
        <v>46158</v>
      </c>
      <c r="I35" s="113" t="s">
        <v>398</v>
      </c>
      <c r="J35" s="112"/>
    </row>
    <row r="36" spans="1:10" ht="104" customHeight="1">
      <c r="A36" s="110" t="s">
        <v>135</v>
      </c>
      <c r="B36" s="110" t="s">
        <v>136</v>
      </c>
      <c r="C36" s="110" t="s">
        <v>137</v>
      </c>
      <c r="D36" s="110" t="s">
        <v>138</v>
      </c>
      <c r="E36" s="105"/>
      <c r="F36" s="105"/>
      <c r="G36" s="89"/>
      <c r="H36" s="114">
        <v>46158</v>
      </c>
      <c r="I36" s="113" t="s">
        <v>398</v>
      </c>
      <c r="J36" s="112"/>
    </row>
    <row r="37" spans="1:10" ht="104" customHeight="1">
      <c r="A37" s="109" t="s">
        <v>139</v>
      </c>
      <c r="B37" s="109" t="s">
        <v>140</v>
      </c>
      <c r="C37" s="109" t="s">
        <v>141</v>
      </c>
      <c r="D37" s="109" t="s">
        <v>142</v>
      </c>
      <c r="E37" s="105"/>
      <c r="F37" s="105"/>
      <c r="G37" s="108"/>
      <c r="H37" s="114">
        <v>46158</v>
      </c>
      <c r="I37" s="113" t="s">
        <v>398</v>
      </c>
      <c r="J37" s="112"/>
    </row>
    <row r="38" spans="1:10" ht="104" customHeight="1">
      <c r="A38" s="110" t="s">
        <v>143</v>
      </c>
      <c r="B38" s="110" t="s">
        <v>144</v>
      </c>
      <c r="C38" s="110" t="s">
        <v>145</v>
      </c>
      <c r="D38" s="110" t="s">
        <v>118</v>
      </c>
      <c r="E38" s="105"/>
      <c r="F38" s="105"/>
      <c r="G38" s="89"/>
      <c r="H38" s="114">
        <v>46158</v>
      </c>
      <c r="I38" s="113" t="s">
        <v>398</v>
      </c>
      <c r="J38" s="154" t="s">
        <v>404</v>
      </c>
    </row>
    <row r="39" spans="1:10" ht="104" customHeight="1">
      <c r="A39" s="109" t="s">
        <v>146</v>
      </c>
      <c r="B39" s="109" t="s">
        <v>147</v>
      </c>
      <c r="C39" s="109" t="s">
        <v>148</v>
      </c>
      <c r="D39" s="109" t="s">
        <v>149</v>
      </c>
      <c r="E39" s="105"/>
      <c r="F39" s="105"/>
      <c r="G39" s="108"/>
      <c r="H39" s="114">
        <v>46158</v>
      </c>
      <c r="I39" s="113" t="s">
        <v>398</v>
      </c>
      <c r="J39" s="112"/>
    </row>
    <row r="40" spans="1:10" ht="104" customHeight="1">
      <c r="A40" s="110" t="s">
        <v>150</v>
      </c>
      <c r="B40" s="110" t="s">
        <v>151</v>
      </c>
      <c r="C40" s="110" t="s">
        <v>152</v>
      </c>
      <c r="D40" s="110" t="s">
        <v>153</v>
      </c>
      <c r="E40" s="105"/>
      <c r="F40" s="105"/>
      <c r="G40" s="89"/>
      <c r="H40" s="114">
        <v>46158</v>
      </c>
      <c r="I40" s="113" t="s">
        <v>398</v>
      </c>
      <c r="J40" s="112"/>
    </row>
    <row r="41" spans="1:10" ht="104" customHeight="1">
      <c r="A41" s="109" t="s">
        <v>154</v>
      </c>
      <c r="B41" s="109" t="s">
        <v>155</v>
      </c>
      <c r="C41" s="109" t="s">
        <v>156</v>
      </c>
      <c r="D41" s="109" t="s">
        <v>157</v>
      </c>
      <c r="E41" s="105"/>
      <c r="F41" s="105"/>
      <c r="G41" s="89"/>
      <c r="H41" s="114">
        <v>46158</v>
      </c>
      <c r="I41" s="113" t="s">
        <v>398</v>
      </c>
      <c r="J41" s="112"/>
    </row>
    <row r="42" spans="1:10" ht="104" customHeight="1">
      <c r="A42" s="110" t="s">
        <v>158</v>
      </c>
      <c r="B42" s="110" t="s">
        <v>159</v>
      </c>
      <c r="C42" s="110" t="s">
        <v>160</v>
      </c>
      <c r="D42" s="110" t="s">
        <v>161</v>
      </c>
      <c r="E42" s="105"/>
      <c r="F42" s="105"/>
      <c r="G42" s="89"/>
      <c r="H42" s="114">
        <v>46158</v>
      </c>
      <c r="I42" s="113" t="s">
        <v>398</v>
      </c>
      <c r="J42" s="112"/>
    </row>
    <row r="43" spans="1:10" ht="104" customHeight="1">
      <c r="A43" s="109" t="s">
        <v>162</v>
      </c>
      <c r="B43" s="109" t="s">
        <v>163</v>
      </c>
      <c r="C43" s="109" t="s">
        <v>164</v>
      </c>
      <c r="D43" s="109" t="s">
        <v>165</v>
      </c>
      <c r="E43" s="105"/>
      <c r="F43" s="105"/>
      <c r="G43" s="108"/>
      <c r="H43" s="114">
        <v>46158</v>
      </c>
      <c r="I43" s="113" t="s">
        <v>398</v>
      </c>
      <c r="J43" s="154" t="s">
        <v>405</v>
      </c>
    </row>
    <row r="44" spans="1:10" ht="104" customHeight="1">
      <c r="A44" s="110" t="s">
        <v>166</v>
      </c>
      <c r="B44" s="110" t="s">
        <v>167</v>
      </c>
      <c r="C44" s="110" t="s">
        <v>168</v>
      </c>
      <c r="D44" s="110" t="s">
        <v>169</v>
      </c>
      <c r="E44" s="105"/>
      <c r="F44" s="105"/>
      <c r="G44" s="89"/>
      <c r="H44" s="114">
        <v>46158</v>
      </c>
      <c r="I44" s="113" t="s">
        <v>398</v>
      </c>
      <c r="J44" s="112"/>
    </row>
    <row r="45" spans="1:10" ht="104" customHeight="1">
      <c r="A45" s="109" t="s">
        <v>170</v>
      </c>
      <c r="B45" s="109" t="s">
        <v>171</v>
      </c>
      <c r="C45" s="109" t="s">
        <v>172</v>
      </c>
      <c r="D45" s="109" t="s">
        <v>173</v>
      </c>
      <c r="E45" s="105"/>
      <c r="F45" s="105"/>
      <c r="G45" s="89"/>
      <c r="H45" s="114">
        <v>46158</v>
      </c>
      <c r="I45" s="113" t="s">
        <v>398</v>
      </c>
      <c r="J45" s="154" t="s">
        <v>406</v>
      </c>
    </row>
    <row r="46" spans="1:10" ht="104" customHeight="1">
      <c r="A46" s="110" t="s">
        <v>174</v>
      </c>
      <c r="B46" s="110" t="s">
        <v>175</v>
      </c>
      <c r="C46" s="110" t="s">
        <v>176</v>
      </c>
      <c r="D46" s="110" t="s">
        <v>177</v>
      </c>
      <c r="E46" s="105"/>
      <c r="F46" s="105"/>
      <c r="G46" s="89"/>
      <c r="H46" s="114">
        <v>46158</v>
      </c>
      <c r="I46" s="113" t="s">
        <v>398</v>
      </c>
      <c r="J46" s="154" t="s">
        <v>407</v>
      </c>
    </row>
    <row r="47" spans="1:10" ht="104" customHeight="1">
      <c r="A47" s="109" t="s">
        <v>178</v>
      </c>
      <c r="B47" s="109" t="s">
        <v>179</v>
      </c>
      <c r="C47" s="109" t="s">
        <v>180</v>
      </c>
      <c r="D47" s="109" t="s">
        <v>118</v>
      </c>
      <c r="E47" s="105"/>
      <c r="F47" s="105"/>
      <c r="G47" s="108"/>
      <c r="H47" s="114">
        <v>46158</v>
      </c>
      <c r="I47" s="113" t="s">
        <v>398</v>
      </c>
      <c r="J47" s="154" t="s">
        <v>408</v>
      </c>
    </row>
    <row r="48" spans="1:10" ht="104" customHeight="1">
      <c r="A48" s="122" t="s">
        <v>393</v>
      </c>
      <c r="B48" s="123"/>
      <c r="C48" s="123"/>
      <c r="D48" s="123"/>
      <c r="E48" s="123"/>
      <c r="F48" s="123"/>
      <c r="G48" s="123"/>
      <c r="H48" s="123"/>
      <c r="I48" s="123"/>
      <c r="J48" s="124"/>
    </row>
    <row r="49" spans="1:10" ht="104" customHeight="1">
      <c r="A49" s="109" t="s">
        <v>181</v>
      </c>
      <c r="B49" s="109" t="s">
        <v>182</v>
      </c>
      <c r="C49" s="109" t="s">
        <v>183</v>
      </c>
      <c r="D49" s="109" t="s">
        <v>184</v>
      </c>
      <c r="E49" s="106"/>
      <c r="F49" s="106"/>
      <c r="G49" s="111"/>
      <c r="H49" s="114">
        <v>46158</v>
      </c>
      <c r="I49" s="113" t="s">
        <v>398</v>
      </c>
      <c r="J49" s="112"/>
    </row>
    <row r="50" spans="1:10" ht="104" customHeight="1">
      <c r="A50" s="110" t="s">
        <v>185</v>
      </c>
      <c r="B50" s="110" t="s">
        <v>186</v>
      </c>
      <c r="C50" s="110" t="s">
        <v>187</v>
      </c>
      <c r="D50" s="110" t="s">
        <v>188</v>
      </c>
      <c r="E50" s="106"/>
      <c r="F50" s="106"/>
      <c r="G50" s="111"/>
      <c r="H50" s="114">
        <v>46158</v>
      </c>
      <c r="I50" s="113" t="s">
        <v>398</v>
      </c>
      <c r="J50" s="112"/>
    </row>
    <row r="51" spans="1:10" ht="104" customHeight="1">
      <c r="A51" s="109" t="s">
        <v>189</v>
      </c>
      <c r="B51" s="109" t="s">
        <v>190</v>
      </c>
      <c r="C51" s="109" t="s">
        <v>191</v>
      </c>
      <c r="D51" s="109" t="s">
        <v>192</v>
      </c>
      <c r="E51" s="106"/>
      <c r="F51" s="106"/>
      <c r="G51" s="111"/>
      <c r="H51" s="114">
        <v>46158</v>
      </c>
      <c r="I51" s="113" t="s">
        <v>398</v>
      </c>
      <c r="J51" s="112"/>
    </row>
    <row r="52" spans="1:10" ht="104" customHeight="1">
      <c r="A52" s="110" t="s">
        <v>193</v>
      </c>
      <c r="B52" s="110" t="s">
        <v>194</v>
      </c>
      <c r="C52" s="110" t="s">
        <v>191</v>
      </c>
      <c r="D52" s="110" t="s">
        <v>192</v>
      </c>
      <c r="E52" s="106"/>
      <c r="F52" s="106"/>
      <c r="G52" s="111"/>
      <c r="H52" s="114">
        <v>46158</v>
      </c>
      <c r="I52" s="113" t="s">
        <v>398</v>
      </c>
      <c r="J52" s="112"/>
    </row>
    <row r="53" spans="1:10" ht="104" customHeight="1">
      <c r="A53" s="109" t="s">
        <v>195</v>
      </c>
      <c r="B53" s="109" t="s">
        <v>196</v>
      </c>
      <c r="C53" s="109" t="s">
        <v>197</v>
      </c>
      <c r="D53" s="109" t="s">
        <v>198</v>
      </c>
      <c r="E53" s="106"/>
      <c r="F53" s="106"/>
      <c r="G53" s="111"/>
      <c r="H53" s="114">
        <v>46158</v>
      </c>
      <c r="I53" s="113" t="s">
        <v>398</v>
      </c>
      <c r="J53" s="112"/>
    </row>
    <row r="54" spans="1:10" ht="104" customHeight="1">
      <c r="A54" s="110" t="s">
        <v>199</v>
      </c>
      <c r="B54" s="110" t="s">
        <v>200</v>
      </c>
      <c r="C54" s="110" t="s">
        <v>201</v>
      </c>
      <c r="D54" s="110" t="s">
        <v>202</v>
      </c>
      <c r="E54" s="106"/>
      <c r="F54" s="106"/>
      <c r="G54" s="111"/>
      <c r="H54" s="114">
        <v>46158</v>
      </c>
      <c r="I54" s="113" t="s">
        <v>398</v>
      </c>
      <c r="J54" s="112"/>
    </row>
    <row r="55" spans="1:10" ht="104" customHeight="1">
      <c r="A55" s="109" t="s">
        <v>203</v>
      </c>
      <c r="B55" s="109" t="s">
        <v>204</v>
      </c>
      <c r="C55" s="109" t="s">
        <v>205</v>
      </c>
      <c r="D55" s="109" t="s">
        <v>206</v>
      </c>
      <c r="E55" s="106"/>
      <c r="F55" s="106"/>
      <c r="G55" s="111"/>
      <c r="H55" s="114">
        <v>46158</v>
      </c>
      <c r="I55" s="113" t="s">
        <v>398</v>
      </c>
      <c r="J55" s="112"/>
    </row>
    <row r="56" spans="1:10" ht="104" customHeight="1">
      <c r="A56" s="110" t="s">
        <v>207</v>
      </c>
      <c r="B56" s="110" t="s">
        <v>208</v>
      </c>
      <c r="C56" s="110" t="s">
        <v>209</v>
      </c>
      <c r="D56" s="110" t="s">
        <v>206</v>
      </c>
      <c r="E56" s="106"/>
      <c r="F56" s="106"/>
      <c r="G56" s="111"/>
      <c r="H56" s="114">
        <v>46158</v>
      </c>
      <c r="I56" s="113" t="s">
        <v>398</v>
      </c>
      <c r="J56" s="112"/>
    </row>
    <row r="57" spans="1:10" ht="104" customHeight="1">
      <c r="A57" s="109" t="s">
        <v>210</v>
      </c>
      <c r="B57" s="109" t="s">
        <v>211</v>
      </c>
      <c r="C57" s="109" t="s">
        <v>212</v>
      </c>
      <c r="D57" s="109" t="s">
        <v>213</v>
      </c>
      <c r="E57" s="106"/>
      <c r="F57" s="106"/>
      <c r="G57" s="111"/>
      <c r="H57" s="114">
        <v>46158</v>
      </c>
      <c r="I57" s="113" t="s">
        <v>398</v>
      </c>
      <c r="J57" s="154" t="s">
        <v>409</v>
      </c>
    </row>
    <row r="58" spans="1:10" ht="104" customHeight="1">
      <c r="A58" s="110" t="s">
        <v>214</v>
      </c>
      <c r="B58" s="110" t="s">
        <v>215</v>
      </c>
      <c r="C58" s="110" t="s">
        <v>216</v>
      </c>
      <c r="D58" s="110" t="s">
        <v>217</v>
      </c>
      <c r="E58" s="106"/>
      <c r="F58" s="106"/>
      <c r="G58" s="111"/>
      <c r="H58" s="114">
        <v>46158</v>
      </c>
      <c r="I58" s="113" t="s">
        <v>398</v>
      </c>
      <c r="J58" s="154" t="s">
        <v>410</v>
      </c>
    </row>
    <row r="59" spans="1:10" ht="104" customHeight="1">
      <c r="A59" s="109" t="s">
        <v>218</v>
      </c>
      <c r="B59" s="109" t="s">
        <v>219</v>
      </c>
      <c r="C59" s="109" t="s">
        <v>220</v>
      </c>
      <c r="D59" s="109" t="s">
        <v>221</v>
      </c>
      <c r="E59" s="106"/>
      <c r="F59" s="106"/>
      <c r="G59" s="111"/>
      <c r="H59" s="114">
        <v>46158</v>
      </c>
      <c r="I59" s="113" t="s">
        <v>398</v>
      </c>
      <c r="J59" s="112"/>
    </row>
    <row r="60" spans="1:10" ht="104" customHeight="1">
      <c r="A60" s="110" t="s">
        <v>222</v>
      </c>
      <c r="B60" s="110" t="s">
        <v>223</v>
      </c>
      <c r="C60" s="110" t="s">
        <v>224</v>
      </c>
      <c r="D60" s="110" t="s">
        <v>225</v>
      </c>
      <c r="E60" s="106"/>
      <c r="F60" s="106"/>
      <c r="G60" s="111"/>
      <c r="H60" s="114">
        <v>46158</v>
      </c>
      <c r="I60" s="113" t="s">
        <v>398</v>
      </c>
      <c r="J60" s="112"/>
    </row>
    <row r="61" spans="1:10" ht="104" customHeight="1">
      <c r="A61" s="109" t="s">
        <v>226</v>
      </c>
      <c r="B61" s="109" t="s">
        <v>227</v>
      </c>
      <c r="C61" s="109" t="s">
        <v>228</v>
      </c>
      <c r="D61" s="109" t="s">
        <v>229</v>
      </c>
      <c r="E61" s="106"/>
      <c r="F61" s="106"/>
      <c r="G61" s="111"/>
      <c r="H61" s="114">
        <v>46158</v>
      </c>
      <c r="I61" s="113" t="s">
        <v>398</v>
      </c>
      <c r="J61" s="154" t="s">
        <v>411</v>
      </c>
    </row>
    <row r="62" spans="1:10" ht="104" customHeight="1">
      <c r="A62" s="110" t="s">
        <v>230</v>
      </c>
      <c r="B62" s="110" t="s">
        <v>231</v>
      </c>
      <c r="C62" s="110" t="s">
        <v>232</v>
      </c>
      <c r="D62" s="110" t="s">
        <v>233</v>
      </c>
      <c r="E62" s="106"/>
      <c r="F62" s="106"/>
      <c r="G62" s="111"/>
      <c r="H62" s="114">
        <v>46158</v>
      </c>
      <c r="I62" s="113" t="s">
        <v>398</v>
      </c>
      <c r="J62" s="154" t="s">
        <v>412</v>
      </c>
    </row>
    <row r="63" spans="1:10" ht="104" customHeight="1">
      <c r="A63" s="109" t="s">
        <v>234</v>
      </c>
      <c r="B63" s="109" t="s">
        <v>235</v>
      </c>
      <c r="C63" s="109" t="s">
        <v>236</v>
      </c>
      <c r="D63" s="109" t="s">
        <v>237</v>
      </c>
      <c r="E63" s="106"/>
      <c r="F63" s="106"/>
      <c r="G63" s="111"/>
      <c r="H63" s="114">
        <v>46158</v>
      </c>
      <c r="I63" s="113" t="s">
        <v>398</v>
      </c>
      <c r="J63" s="154" t="s">
        <v>413</v>
      </c>
    </row>
    <row r="64" spans="1:10" ht="104" customHeight="1">
      <c r="A64" s="110" t="s">
        <v>238</v>
      </c>
      <c r="B64" s="110" t="s">
        <v>239</v>
      </c>
      <c r="C64" s="110" t="s">
        <v>240</v>
      </c>
      <c r="D64" s="110" t="s">
        <v>241</v>
      </c>
      <c r="E64" s="106"/>
      <c r="F64" s="106"/>
      <c r="G64" s="111"/>
      <c r="H64" s="114">
        <v>46158</v>
      </c>
      <c r="I64" s="113" t="s">
        <v>398</v>
      </c>
      <c r="J64" s="154" t="s">
        <v>414</v>
      </c>
    </row>
    <row r="65" spans="1:10" ht="104" customHeight="1">
      <c r="A65" s="109" t="s">
        <v>242</v>
      </c>
      <c r="B65" s="109" t="s">
        <v>243</v>
      </c>
      <c r="C65" s="109" t="s">
        <v>244</v>
      </c>
      <c r="D65" s="109" t="s">
        <v>245</v>
      </c>
      <c r="E65" s="106"/>
      <c r="F65" s="106"/>
      <c r="G65" s="111"/>
      <c r="H65" s="114">
        <v>46158</v>
      </c>
      <c r="I65" s="113" t="s">
        <v>398</v>
      </c>
      <c r="J65" s="154" t="s">
        <v>415</v>
      </c>
    </row>
    <row r="66" spans="1:10" ht="104" customHeight="1">
      <c r="A66" s="110" t="s">
        <v>246</v>
      </c>
      <c r="B66" s="110" t="s">
        <v>247</v>
      </c>
      <c r="C66" s="110" t="s">
        <v>248</v>
      </c>
      <c r="D66" s="110" t="s">
        <v>249</v>
      </c>
      <c r="E66" s="106"/>
      <c r="F66" s="106"/>
      <c r="G66" s="111"/>
      <c r="H66" s="114">
        <v>46158</v>
      </c>
      <c r="I66" s="113" t="s">
        <v>398</v>
      </c>
      <c r="J66" s="154" t="s">
        <v>416</v>
      </c>
    </row>
    <row r="67" spans="1:10" ht="104" customHeight="1">
      <c r="A67" s="109" t="s">
        <v>250</v>
      </c>
      <c r="B67" s="109" t="s">
        <v>251</v>
      </c>
      <c r="C67" s="109" t="s">
        <v>252</v>
      </c>
      <c r="D67" s="109" t="s">
        <v>253</v>
      </c>
      <c r="E67" s="106"/>
      <c r="F67" s="106"/>
      <c r="G67" s="111"/>
      <c r="H67" s="114">
        <v>46158</v>
      </c>
      <c r="I67" s="113" t="s">
        <v>398</v>
      </c>
      <c r="J67" s="154" t="s">
        <v>417</v>
      </c>
    </row>
    <row r="68" spans="1:10" ht="104" customHeight="1">
      <c r="A68" s="110" t="s">
        <v>254</v>
      </c>
      <c r="B68" s="110" t="s">
        <v>255</v>
      </c>
      <c r="C68" s="110" t="s">
        <v>256</v>
      </c>
      <c r="D68" s="110" t="s">
        <v>217</v>
      </c>
      <c r="E68" s="106"/>
      <c r="F68" s="106"/>
      <c r="G68" s="111"/>
      <c r="H68" s="114">
        <v>46158</v>
      </c>
      <c r="I68" s="113" t="s">
        <v>398</v>
      </c>
      <c r="J68" s="112"/>
    </row>
    <row r="69" spans="1:10" ht="104" customHeight="1">
      <c r="A69" s="109" t="s">
        <v>257</v>
      </c>
      <c r="B69" s="109" t="s">
        <v>258</v>
      </c>
      <c r="C69" s="109" t="s">
        <v>259</v>
      </c>
      <c r="D69" s="109" t="s">
        <v>202</v>
      </c>
      <c r="E69" s="106"/>
      <c r="F69" s="106"/>
      <c r="G69" s="111"/>
      <c r="H69" s="114">
        <v>46158</v>
      </c>
      <c r="I69" s="113" t="s">
        <v>398</v>
      </c>
      <c r="J69" s="154" t="s">
        <v>418</v>
      </c>
    </row>
    <row r="70" spans="1:10" ht="104" customHeight="1">
      <c r="A70" s="110" t="s">
        <v>260</v>
      </c>
      <c r="B70" s="110" t="s">
        <v>261</v>
      </c>
      <c r="C70" s="110" t="s">
        <v>262</v>
      </c>
      <c r="D70" s="110" t="s">
        <v>263</v>
      </c>
      <c r="E70" s="106"/>
      <c r="F70" s="106"/>
      <c r="G70" s="111"/>
      <c r="H70" s="114">
        <v>46158</v>
      </c>
      <c r="I70" s="113" t="s">
        <v>398</v>
      </c>
      <c r="J70" s="112"/>
    </row>
    <row r="71" spans="1:10" ht="104" customHeight="1">
      <c r="A71" s="109" t="s">
        <v>264</v>
      </c>
      <c r="B71" s="109" t="s">
        <v>265</v>
      </c>
      <c r="C71" s="109" t="s">
        <v>266</v>
      </c>
      <c r="D71" s="109" t="s">
        <v>267</v>
      </c>
      <c r="E71" s="106"/>
      <c r="F71" s="106"/>
      <c r="G71" s="111"/>
      <c r="H71" s="114">
        <v>46158</v>
      </c>
      <c r="I71" s="113" t="s">
        <v>398</v>
      </c>
      <c r="J71" s="112"/>
    </row>
    <row r="72" spans="1:10" ht="104" customHeight="1">
      <c r="A72" s="110" t="s">
        <v>268</v>
      </c>
      <c r="B72" s="110" t="s">
        <v>269</v>
      </c>
      <c r="C72" s="110" t="s">
        <v>270</v>
      </c>
      <c r="D72" s="110" t="s">
        <v>271</v>
      </c>
      <c r="E72" s="106"/>
      <c r="F72" s="106"/>
      <c r="G72" s="111"/>
      <c r="H72" s="114">
        <v>46158</v>
      </c>
      <c r="I72" s="113" t="s">
        <v>398</v>
      </c>
      <c r="J72" s="154" t="s">
        <v>419</v>
      </c>
    </row>
    <row r="73" spans="1:10" ht="104" customHeight="1">
      <c r="A73" s="109" t="s">
        <v>272</v>
      </c>
      <c r="B73" s="109" t="s">
        <v>273</v>
      </c>
      <c r="C73" s="109" t="s">
        <v>274</v>
      </c>
      <c r="D73" s="109" t="s">
        <v>275</v>
      </c>
      <c r="E73" s="106"/>
      <c r="F73" s="106"/>
      <c r="G73" s="111"/>
      <c r="H73" s="114">
        <v>46158</v>
      </c>
      <c r="I73" s="113" t="s">
        <v>398</v>
      </c>
      <c r="J73" s="112"/>
    </row>
    <row r="74" spans="1:10" ht="104" customHeight="1">
      <c r="A74" s="110" t="s">
        <v>276</v>
      </c>
      <c r="B74" s="110" t="s">
        <v>277</v>
      </c>
      <c r="C74" s="110" t="s">
        <v>278</v>
      </c>
      <c r="D74" s="110" t="s">
        <v>279</v>
      </c>
      <c r="E74" s="106"/>
      <c r="F74" s="106"/>
      <c r="G74" s="111"/>
      <c r="H74" s="114">
        <v>46158</v>
      </c>
      <c r="I74" s="113" t="s">
        <v>398</v>
      </c>
      <c r="J74" s="154" t="s">
        <v>420</v>
      </c>
    </row>
    <row r="75" spans="1:10" ht="104" customHeight="1">
      <c r="A75" s="109" t="s">
        <v>280</v>
      </c>
      <c r="B75" s="109" t="s">
        <v>281</v>
      </c>
      <c r="C75" s="109" t="s">
        <v>282</v>
      </c>
      <c r="D75" s="109" t="s">
        <v>283</v>
      </c>
      <c r="E75" s="106"/>
      <c r="F75" s="106"/>
      <c r="G75" s="111"/>
      <c r="H75" s="114">
        <v>46158</v>
      </c>
      <c r="I75" s="113" t="s">
        <v>398</v>
      </c>
      <c r="J75" s="154" t="s">
        <v>421</v>
      </c>
    </row>
    <row r="76" spans="1:10" ht="104" customHeight="1">
      <c r="A76" s="110" t="s">
        <v>284</v>
      </c>
      <c r="B76" s="110" t="s">
        <v>285</v>
      </c>
      <c r="C76" s="110" t="s">
        <v>286</v>
      </c>
      <c r="D76" s="110" t="s">
        <v>287</v>
      </c>
      <c r="E76" s="106"/>
      <c r="F76" s="106"/>
      <c r="G76" s="111"/>
      <c r="H76" s="114">
        <v>46158</v>
      </c>
      <c r="I76" s="113" t="s">
        <v>398</v>
      </c>
      <c r="J76" s="154" t="s">
        <v>422</v>
      </c>
    </row>
    <row r="77" spans="1:10" ht="104" customHeight="1">
      <c r="A77" s="109" t="s">
        <v>288</v>
      </c>
      <c r="B77" s="109" t="s">
        <v>289</v>
      </c>
      <c r="C77" s="109" t="s">
        <v>290</v>
      </c>
      <c r="D77" s="109" t="s">
        <v>291</v>
      </c>
      <c r="E77" s="106"/>
      <c r="F77" s="106"/>
      <c r="G77" s="111"/>
      <c r="H77" s="114">
        <v>46158</v>
      </c>
      <c r="I77" s="113" t="s">
        <v>398</v>
      </c>
      <c r="J77" s="154" t="s">
        <v>423</v>
      </c>
    </row>
    <row r="78" spans="1:10" ht="104" customHeight="1">
      <c r="A78" s="110" t="s">
        <v>292</v>
      </c>
      <c r="B78" s="110" t="s">
        <v>293</v>
      </c>
      <c r="C78" s="110" t="s">
        <v>294</v>
      </c>
      <c r="D78" s="110" t="s">
        <v>161</v>
      </c>
      <c r="E78" s="106"/>
      <c r="F78" s="106"/>
      <c r="G78" s="111"/>
      <c r="H78" s="114">
        <v>46158</v>
      </c>
      <c r="I78" s="113" t="s">
        <v>398</v>
      </c>
      <c r="J78" s="112"/>
    </row>
    <row r="79" spans="1:10" ht="104" customHeight="1">
      <c r="A79" s="119" t="s">
        <v>394</v>
      </c>
      <c r="B79" s="120"/>
      <c r="C79" s="120"/>
      <c r="D79" s="120"/>
      <c r="E79" s="120"/>
      <c r="F79" s="120"/>
      <c r="G79" s="120"/>
      <c r="H79" s="120"/>
      <c r="I79" s="120"/>
      <c r="J79" s="121"/>
    </row>
    <row r="80" spans="1:10" ht="104" customHeight="1">
      <c r="A80" s="110" t="s">
        <v>295</v>
      </c>
      <c r="B80" s="110" t="s">
        <v>296</v>
      </c>
      <c r="C80" s="110" t="s">
        <v>297</v>
      </c>
      <c r="D80" s="110" t="s">
        <v>298</v>
      </c>
      <c r="E80" s="106"/>
      <c r="F80" s="106"/>
      <c r="G80" s="111"/>
      <c r="H80" s="114">
        <v>46158</v>
      </c>
      <c r="I80" s="113" t="s">
        <v>398</v>
      </c>
      <c r="J80" s="112"/>
    </row>
    <row r="81" spans="1:10" ht="104" customHeight="1">
      <c r="A81" s="109" t="s">
        <v>299</v>
      </c>
      <c r="B81" s="109" t="s">
        <v>300</v>
      </c>
      <c r="C81" s="109" t="s">
        <v>301</v>
      </c>
      <c r="D81" s="109" t="s">
        <v>302</v>
      </c>
      <c r="E81" s="106"/>
      <c r="F81" s="106"/>
      <c r="G81" s="111"/>
      <c r="H81" s="114">
        <v>46158</v>
      </c>
      <c r="I81" s="113" t="s">
        <v>398</v>
      </c>
      <c r="J81" s="154" t="s">
        <v>424</v>
      </c>
    </row>
    <row r="82" spans="1:10" ht="104" customHeight="1">
      <c r="A82" s="110" t="s">
        <v>303</v>
      </c>
      <c r="B82" s="110" t="s">
        <v>304</v>
      </c>
      <c r="C82" s="110" t="s">
        <v>305</v>
      </c>
      <c r="D82" s="110" t="s">
        <v>306</v>
      </c>
      <c r="E82" s="106"/>
      <c r="F82" s="106"/>
      <c r="G82" s="111"/>
      <c r="H82" s="114">
        <v>46158</v>
      </c>
      <c r="I82" s="113" t="s">
        <v>398</v>
      </c>
      <c r="J82" s="112"/>
    </row>
    <row r="83" spans="1:10" ht="104" customHeight="1">
      <c r="A83" s="109" t="s">
        <v>307</v>
      </c>
      <c r="B83" s="109" t="s">
        <v>308</v>
      </c>
      <c r="C83" s="109" t="s">
        <v>309</v>
      </c>
      <c r="D83" s="109" t="s">
        <v>310</v>
      </c>
      <c r="E83" s="106"/>
      <c r="F83" s="106"/>
      <c r="G83" s="111"/>
      <c r="H83" s="114">
        <v>46158</v>
      </c>
      <c r="I83" s="113" t="s">
        <v>398</v>
      </c>
      <c r="J83" s="112"/>
    </row>
    <row r="84" spans="1:10" ht="104" customHeight="1">
      <c r="A84" s="110" t="s">
        <v>311</v>
      </c>
      <c r="B84" s="110" t="s">
        <v>312</v>
      </c>
      <c r="C84" s="110" t="s">
        <v>313</v>
      </c>
      <c r="D84" s="110" t="s">
        <v>314</v>
      </c>
      <c r="E84" s="106"/>
      <c r="F84" s="106"/>
      <c r="G84" s="111"/>
      <c r="H84" s="114">
        <v>46158</v>
      </c>
      <c r="I84" s="113" t="s">
        <v>398</v>
      </c>
      <c r="J84" s="154" t="s">
        <v>425</v>
      </c>
    </row>
    <row r="85" spans="1:10" ht="104" customHeight="1">
      <c r="A85" s="109" t="s">
        <v>315</v>
      </c>
      <c r="B85" s="109" t="s">
        <v>316</v>
      </c>
      <c r="C85" s="109" t="s">
        <v>317</v>
      </c>
      <c r="D85" s="109" t="s">
        <v>318</v>
      </c>
      <c r="E85" s="106"/>
      <c r="F85" s="106"/>
      <c r="G85" s="111"/>
      <c r="H85" s="114">
        <v>46158</v>
      </c>
      <c r="I85" s="113" t="s">
        <v>398</v>
      </c>
      <c r="J85" s="112"/>
    </row>
    <row r="86" spans="1:10" ht="104" customHeight="1">
      <c r="A86" s="110" t="s">
        <v>319</v>
      </c>
      <c r="B86" s="110" t="s">
        <v>320</v>
      </c>
      <c r="C86" s="110" t="s">
        <v>321</v>
      </c>
      <c r="D86" s="110" t="s">
        <v>322</v>
      </c>
      <c r="E86" s="106"/>
      <c r="F86" s="106"/>
      <c r="G86" s="111"/>
      <c r="H86" s="114">
        <v>46158</v>
      </c>
      <c r="I86" s="113" t="s">
        <v>398</v>
      </c>
      <c r="J86" s="112"/>
    </row>
    <row r="87" spans="1:10" ht="104" customHeight="1">
      <c r="A87" s="109" t="s">
        <v>323</v>
      </c>
      <c r="B87" s="109" t="s">
        <v>251</v>
      </c>
      <c r="C87" s="109" t="s">
        <v>324</v>
      </c>
      <c r="D87" s="109" t="s">
        <v>325</v>
      </c>
      <c r="E87" s="106"/>
      <c r="F87" s="106"/>
      <c r="G87" s="111"/>
      <c r="H87" s="114">
        <v>46158</v>
      </c>
      <c r="I87" s="113" t="s">
        <v>398</v>
      </c>
      <c r="J87" s="154" t="s">
        <v>426</v>
      </c>
    </row>
    <row r="88" spans="1:10" ht="104" customHeight="1">
      <c r="A88" s="110" t="s">
        <v>326</v>
      </c>
      <c r="B88" s="110" t="s">
        <v>327</v>
      </c>
      <c r="C88" s="110" t="s">
        <v>328</v>
      </c>
      <c r="D88" s="110" t="s">
        <v>329</v>
      </c>
      <c r="E88" s="106"/>
      <c r="F88" s="106"/>
      <c r="G88" s="111"/>
      <c r="H88" s="114">
        <v>46158</v>
      </c>
      <c r="I88" s="113" t="s">
        <v>398</v>
      </c>
      <c r="J88" s="112"/>
    </row>
    <row r="89" spans="1:10" ht="104" customHeight="1">
      <c r="A89" s="109" t="s">
        <v>330</v>
      </c>
      <c r="B89" s="109" t="s">
        <v>331</v>
      </c>
      <c r="C89" s="109" t="s">
        <v>332</v>
      </c>
      <c r="D89" s="109" t="s">
        <v>161</v>
      </c>
      <c r="E89" s="106"/>
      <c r="F89" s="106"/>
      <c r="G89" s="111"/>
      <c r="H89" s="114">
        <v>46158</v>
      </c>
      <c r="I89" s="113" t="s">
        <v>398</v>
      </c>
      <c r="J89" s="112"/>
    </row>
    <row r="90" spans="1:10" ht="104" customHeight="1">
      <c r="A90" s="119" t="s">
        <v>395</v>
      </c>
      <c r="B90" s="120"/>
      <c r="C90" s="120"/>
      <c r="D90" s="120"/>
      <c r="E90" s="120"/>
      <c r="F90" s="120"/>
      <c r="G90" s="120"/>
      <c r="H90" s="120"/>
      <c r="I90" s="120"/>
      <c r="J90" s="121"/>
    </row>
    <row r="91" spans="1:10" ht="104" customHeight="1">
      <c r="A91" s="109" t="s">
        <v>333</v>
      </c>
      <c r="B91" s="109" t="s">
        <v>334</v>
      </c>
      <c r="C91" s="109" t="s">
        <v>335</v>
      </c>
      <c r="D91" s="109" t="s">
        <v>202</v>
      </c>
      <c r="E91" s="105"/>
      <c r="F91" s="105"/>
      <c r="G91" s="89"/>
      <c r="H91" s="114">
        <v>46158</v>
      </c>
      <c r="I91" s="113" t="s">
        <v>398</v>
      </c>
      <c r="J91" s="90"/>
    </row>
    <row r="92" spans="1:10" ht="104" customHeight="1">
      <c r="A92" s="110" t="s">
        <v>336</v>
      </c>
      <c r="B92" s="110" t="s">
        <v>337</v>
      </c>
      <c r="C92" s="110" t="s">
        <v>338</v>
      </c>
      <c r="D92" s="110" t="s">
        <v>339</v>
      </c>
      <c r="E92" s="105"/>
      <c r="F92" s="105"/>
      <c r="G92" s="89"/>
      <c r="H92" s="114">
        <v>46158</v>
      </c>
      <c r="I92" s="113" t="s">
        <v>398</v>
      </c>
      <c r="J92" s="90"/>
    </row>
    <row r="93" spans="1:10" ht="104" customHeight="1">
      <c r="A93" s="109" t="s">
        <v>340</v>
      </c>
      <c r="B93" s="109" t="s">
        <v>341</v>
      </c>
      <c r="C93" s="109" t="s">
        <v>342</v>
      </c>
      <c r="D93" s="109" t="s">
        <v>263</v>
      </c>
      <c r="E93" s="105"/>
      <c r="F93" s="105"/>
      <c r="G93" s="89"/>
      <c r="H93" s="114">
        <v>46158</v>
      </c>
      <c r="I93" s="113" t="s">
        <v>398</v>
      </c>
      <c r="J93" s="90"/>
    </row>
    <row r="94" spans="1:10" ht="104" customHeight="1">
      <c r="A94" s="110" t="s">
        <v>343</v>
      </c>
      <c r="B94" s="110" t="s">
        <v>344</v>
      </c>
      <c r="C94" s="110" t="s">
        <v>345</v>
      </c>
      <c r="D94" s="110" t="s">
        <v>346</v>
      </c>
      <c r="E94" s="105"/>
      <c r="F94" s="105"/>
      <c r="G94" s="89"/>
      <c r="H94" s="114">
        <v>46158</v>
      </c>
      <c r="I94" s="113" t="s">
        <v>398</v>
      </c>
      <c r="J94" s="90"/>
    </row>
    <row r="95" spans="1:10" ht="104" customHeight="1">
      <c r="A95" s="109" t="s">
        <v>347</v>
      </c>
      <c r="B95" s="109" t="s">
        <v>348</v>
      </c>
      <c r="C95" s="109" t="s">
        <v>349</v>
      </c>
      <c r="D95" s="109" t="s">
        <v>350</v>
      </c>
      <c r="E95" s="105"/>
      <c r="F95" s="105"/>
      <c r="G95" s="89"/>
      <c r="H95" s="114">
        <v>46158</v>
      </c>
      <c r="I95" s="113" t="s">
        <v>398</v>
      </c>
      <c r="J95" s="90"/>
    </row>
    <row r="96" spans="1:10" ht="104" customHeight="1">
      <c r="A96" s="110" t="s">
        <v>351</v>
      </c>
      <c r="B96" s="110" t="s">
        <v>352</v>
      </c>
      <c r="C96" s="110" t="s">
        <v>353</v>
      </c>
      <c r="D96" s="110" t="s">
        <v>354</v>
      </c>
      <c r="E96" s="105"/>
      <c r="F96" s="105"/>
      <c r="G96" s="89"/>
      <c r="H96" s="114">
        <v>46158</v>
      </c>
      <c r="I96" s="113" t="s">
        <v>398</v>
      </c>
      <c r="J96" s="90"/>
    </row>
    <row r="97" spans="1:10" ht="104" customHeight="1">
      <c r="A97" s="109" t="s">
        <v>355</v>
      </c>
      <c r="B97" s="109" t="s">
        <v>356</v>
      </c>
      <c r="C97" s="109" t="s">
        <v>357</v>
      </c>
      <c r="D97" s="109" t="s">
        <v>358</v>
      </c>
      <c r="E97" s="105"/>
      <c r="F97" s="105"/>
      <c r="G97" s="89"/>
      <c r="H97" s="114">
        <v>46158</v>
      </c>
      <c r="I97" s="113" t="s">
        <v>398</v>
      </c>
      <c r="J97" s="90"/>
    </row>
    <row r="98" spans="1:10" ht="104" customHeight="1">
      <c r="A98" s="119" t="s">
        <v>396</v>
      </c>
      <c r="B98" s="120"/>
      <c r="C98" s="120"/>
      <c r="D98" s="120"/>
      <c r="E98" s="120"/>
      <c r="F98" s="120"/>
      <c r="G98" s="120"/>
      <c r="H98" s="120"/>
      <c r="I98" s="120"/>
      <c r="J98" s="121"/>
    </row>
    <row r="99" spans="1:10" ht="104" customHeight="1">
      <c r="A99" s="109" t="s">
        <v>359</v>
      </c>
      <c r="B99" s="109" t="s">
        <v>360</v>
      </c>
      <c r="C99" s="109" t="s">
        <v>361</v>
      </c>
      <c r="D99" s="109" t="s">
        <v>362</v>
      </c>
      <c r="E99" s="105"/>
      <c r="F99" s="105"/>
      <c r="G99" s="89"/>
      <c r="H99" s="114">
        <v>46158</v>
      </c>
      <c r="I99" s="113" t="s">
        <v>398</v>
      </c>
      <c r="J99" s="90"/>
    </row>
    <row r="100" spans="1:10" ht="104" customHeight="1">
      <c r="A100" s="110" t="s">
        <v>363</v>
      </c>
      <c r="B100" s="110" t="s">
        <v>364</v>
      </c>
      <c r="C100" s="110" t="s">
        <v>365</v>
      </c>
      <c r="D100" s="110" t="s">
        <v>366</v>
      </c>
      <c r="E100" s="105"/>
      <c r="F100" s="105"/>
      <c r="G100" s="89"/>
      <c r="H100" s="114">
        <v>46158</v>
      </c>
      <c r="I100" s="113" t="s">
        <v>398</v>
      </c>
      <c r="J100" s="90"/>
    </row>
    <row r="101" spans="1:10" ht="104" customHeight="1">
      <c r="A101" s="109" t="s">
        <v>367</v>
      </c>
      <c r="B101" s="109" t="s">
        <v>368</v>
      </c>
      <c r="C101" s="109" t="s">
        <v>369</v>
      </c>
      <c r="D101" s="109" t="s">
        <v>370</v>
      </c>
      <c r="E101" s="105"/>
      <c r="F101" s="105"/>
      <c r="G101" s="89"/>
      <c r="H101" s="114">
        <v>46158</v>
      </c>
      <c r="I101" s="113" t="s">
        <v>398</v>
      </c>
      <c r="J101" s="90"/>
    </row>
    <row r="102" spans="1:10" ht="104" customHeight="1">
      <c r="A102" s="110" t="s">
        <v>371</v>
      </c>
      <c r="B102" s="110" t="s">
        <v>372</v>
      </c>
      <c r="C102" s="110" t="s">
        <v>373</v>
      </c>
      <c r="D102" s="110" t="s">
        <v>374</v>
      </c>
      <c r="E102" s="105"/>
      <c r="F102" s="105"/>
      <c r="G102" s="89"/>
      <c r="H102" s="114">
        <v>46158</v>
      </c>
      <c r="I102" s="113" t="s">
        <v>398</v>
      </c>
      <c r="J102" s="90"/>
    </row>
    <row r="103" spans="1:10" ht="104" customHeight="1">
      <c r="A103" s="119" t="s">
        <v>397</v>
      </c>
      <c r="B103" s="120"/>
      <c r="C103" s="120"/>
      <c r="D103" s="120"/>
      <c r="E103" s="120"/>
      <c r="F103" s="120"/>
      <c r="G103" s="120"/>
      <c r="H103" s="120"/>
      <c r="I103" s="120"/>
      <c r="J103" s="121"/>
    </row>
    <row r="104" spans="1:10" ht="104" customHeight="1">
      <c r="A104" s="110" t="s">
        <v>375</v>
      </c>
      <c r="B104" s="110" t="s">
        <v>376</v>
      </c>
      <c r="C104" s="110" t="s">
        <v>377</v>
      </c>
      <c r="D104" s="110" t="s">
        <v>378</v>
      </c>
      <c r="E104" s="105"/>
      <c r="F104" s="105"/>
      <c r="G104" s="89"/>
      <c r="H104" s="114">
        <v>46158</v>
      </c>
      <c r="I104" s="113" t="s">
        <v>398</v>
      </c>
      <c r="J104" s="154" t="s">
        <v>427</v>
      </c>
    </row>
    <row r="105" spans="1:10" ht="104" customHeight="1">
      <c r="A105" s="109" t="s">
        <v>379</v>
      </c>
      <c r="B105" s="109" t="s">
        <v>380</v>
      </c>
      <c r="C105" s="109" t="s">
        <v>381</v>
      </c>
      <c r="D105" s="109" t="s">
        <v>382</v>
      </c>
      <c r="E105" s="105"/>
      <c r="F105" s="105"/>
      <c r="G105" s="89"/>
      <c r="H105" s="114">
        <v>46158</v>
      </c>
      <c r="I105" s="113" t="s">
        <v>398</v>
      </c>
      <c r="J105" s="154" t="s">
        <v>428</v>
      </c>
    </row>
    <row r="106" spans="1:10" ht="104" customHeight="1">
      <c r="A106" s="110" t="s">
        <v>383</v>
      </c>
      <c r="B106" s="110" t="s">
        <v>384</v>
      </c>
      <c r="C106" s="110" t="s">
        <v>141</v>
      </c>
      <c r="D106" s="110" t="s">
        <v>385</v>
      </c>
      <c r="E106" s="105"/>
      <c r="F106" s="105"/>
      <c r="G106" s="89"/>
      <c r="H106" s="114">
        <v>46158</v>
      </c>
      <c r="I106" s="113" t="s">
        <v>398</v>
      </c>
      <c r="J106" s="90"/>
    </row>
    <row r="107" spans="1:10" ht="104" customHeight="1">
      <c r="A107" s="109" t="s">
        <v>386</v>
      </c>
      <c r="B107" s="109" t="s">
        <v>387</v>
      </c>
      <c r="C107" s="109" t="s">
        <v>388</v>
      </c>
      <c r="D107" s="109" t="s">
        <v>122</v>
      </c>
      <c r="E107" s="105"/>
      <c r="F107" s="105"/>
      <c r="G107" s="89"/>
      <c r="H107" s="114">
        <v>46158</v>
      </c>
      <c r="I107" s="113" t="s">
        <v>398</v>
      </c>
      <c r="J107" s="154" t="s">
        <v>429</v>
      </c>
    </row>
    <row r="108" spans="1:10" ht="104" customHeight="1">
      <c r="A108" s="110" t="s">
        <v>389</v>
      </c>
      <c r="B108" s="110" t="s">
        <v>390</v>
      </c>
      <c r="C108" s="110" t="s">
        <v>391</v>
      </c>
      <c r="D108" s="110" t="s">
        <v>392</v>
      </c>
      <c r="E108" s="105"/>
      <c r="F108" s="105"/>
      <c r="G108" s="89"/>
      <c r="H108" s="114">
        <v>46158</v>
      </c>
      <c r="I108" s="113" t="s">
        <v>398</v>
      </c>
      <c r="J108" s="90"/>
    </row>
    <row r="109" spans="1:10">
      <c r="A109" s="84"/>
      <c r="B109" s="93"/>
      <c r="C109" s="88"/>
      <c r="D109" s="107"/>
      <c r="E109" s="105"/>
      <c r="F109" s="105"/>
      <c r="G109" s="89"/>
      <c r="H109" s="95"/>
      <c r="I109" s="97"/>
      <c r="J109" s="90"/>
    </row>
    <row r="110" spans="1:10">
      <c r="A110" s="84"/>
      <c r="B110" s="93"/>
      <c r="C110" s="88"/>
      <c r="D110" s="107"/>
      <c r="E110" s="105"/>
      <c r="F110" s="105"/>
      <c r="G110" s="89"/>
      <c r="H110" s="95"/>
      <c r="I110" s="97"/>
      <c r="J110" s="90"/>
    </row>
    <row r="111" spans="1:10">
      <c r="A111" s="84"/>
      <c r="B111" s="93"/>
      <c r="C111" s="88"/>
      <c r="D111" s="107"/>
      <c r="E111" s="105"/>
      <c r="F111" s="105"/>
      <c r="G111" s="89"/>
      <c r="H111" s="95"/>
      <c r="I111" s="97"/>
      <c r="J111" s="90"/>
    </row>
    <row r="112" spans="1:10">
      <c r="A112" s="84"/>
      <c r="B112" s="93"/>
      <c r="C112" s="88"/>
      <c r="D112" s="107"/>
      <c r="E112" s="105"/>
      <c r="F112" s="105"/>
      <c r="G112" s="89"/>
      <c r="H112" s="95"/>
      <c r="I112" s="97"/>
      <c r="J112" s="90"/>
    </row>
    <row r="113" spans="1:10">
      <c r="A113" s="84"/>
      <c r="B113" s="93"/>
      <c r="C113" s="88"/>
      <c r="D113" s="107"/>
      <c r="E113" s="105"/>
      <c r="F113" s="105"/>
      <c r="G113" s="89"/>
      <c r="H113" s="95"/>
      <c r="I113" s="97"/>
      <c r="J113" s="90"/>
    </row>
    <row r="114" spans="1:10">
      <c r="A114" s="84"/>
      <c r="B114" s="93"/>
      <c r="C114" s="88"/>
      <c r="D114" s="107"/>
      <c r="E114" s="105"/>
      <c r="F114" s="105"/>
      <c r="G114" s="89"/>
      <c r="H114" s="95"/>
      <c r="I114" s="97"/>
      <c r="J114" s="90"/>
    </row>
    <row r="115" spans="1:10">
      <c r="A115" s="84"/>
      <c r="B115" s="93"/>
      <c r="C115" s="88"/>
      <c r="D115" s="107"/>
      <c r="E115" s="105"/>
      <c r="F115" s="105"/>
      <c r="G115" s="89"/>
      <c r="H115" s="95"/>
      <c r="I115" s="97"/>
      <c r="J115" s="90"/>
    </row>
    <row r="116" spans="1:10">
      <c r="A116" s="84"/>
      <c r="B116" s="93"/>
      <c r="C116" s="88"/>
      <c r="D116" s="107"/>
      <c r="E116" s="105"/>
      <c r="F116" s="105"/>
      <c r="G116" s="89"/>
      <c r="H116" s="95"/>
      <c r="I116" s="97"/>
      <c r="J116" s="90"/>
    </row>
    <row r="117" spans="1:10">
      <c r="A117" s="84"/>
      <c r="B117" s="93"/>
      <c r="C117" s="88"/>
      <c r="D117" s="107"/>
      <c r="E117" s="105"/>
      <c r="F117" s="105"/>
      <c r="G117" s="89"/>
      <c r="H117" s="95"/>
      <c r="I117" s="97"/>
      <c r="J117" s="90"/>
    </row>
    <row r="118" spans="1:10">
      <c r="A118" s="84"/>
      <c r="B118" s="93"/>
      <c r="C118" s="88"/>
      <c r="D118" s="107"/>
      <c r="E118" s="105"/>
      <c r="F118" s="105"/>
      <c r="G118" s="89"/>
      <c r="H118" s="95"/>
      <c r="I118" s="97"/>
      <c r="J118" s="90"/>
    </row>
    <row r="119" spans="1:10">
      <c r="A119" s="84"/>
      <c r="B119" s="93"/>
      <c r="C119" s="88"/>
      <c r="D119" s="107"/>
      <c r="E119" s="105"/>
      <c r="F119" s="105"/>
      <c r="G119" s="89"/>
      <c r="H119" s="95"/>
      <c r="I119" s="97"/>
      <c r="J119" s="90"/>
    </row>
    <row r="120" spans="1:10">
      <c r="A120" s="84"/>
      <c r="B120" s="93"/>
      <c r="C120" s="88"/>
      <c r="D120" s="107"/>
      <c r="E120" s="105"/>
      <c r="F120" s="105"/>
      <c r="G120" s="89"/>
      <c r="H120" s="95"/>
      <c r="I120" s="97"/>
      <c r="J120" s="90"/>
    </row>
    <row r="121" spans="1:10">
      <c r="A121" s="84"/>
      <c r="B121" s="93"/>
      <c r="C121" s="88"/>
      <c r="D121" s="107"/>
      <c r="E121" s="105"/>
      <c r="F121" s="105"/>
      <c r="G121" s="89"/>
      <c r="H121" s="95"/>
      <c r="I121" s="97"/>
      <c r="J121" s="90"/>
    </row>
    <row r="122" spans="1:10">
      <c r="A122" s="84"/>
      <c r="B122" s="93"/>
      <c r="C122" s="88"/>
      <c r="D122" s="107"/>
      <c r="E122" s="105"/>
      <c r="F122" s="105"/>
      <c r="G122" s="89"/>
      <c r="H122" s="95"/>
      <c r="I122" s="97"/>
      <c r="J122" s="90"/>
    </row>
    <row r="123" spans="1:10">
      <c r="A123" s="84"/>
      <c r="B123" s="93"/>
      <c r="C123" s="88"/>
      <c r="D123" s="107"/>
      <c r="E123" s="105"/>
      <c r="F123" s="105"/>
      <c r="G123" s="89"/>
      <c r="H123" s="95"/>
      <c r="I123" s="97"/>
      <c r="J123" s="90"/>
    </row>
    <row r="124" spans="1:10">
      <c r="A124" s="84"/>
      <c r="B124" s="93"/>
      <c r="C124" s="88"/>
      <c r="D124" s="107"/>
      <c r="E124" s="105"/>
      <c r="F124" s="105"/>
      <c r="G124" s="89"/>
      <c r="H124" s="95"/>
      <c r="I124" s="97"/>
      <c r="J124" s="90"/>
    </row>
    <row r="125" spans="1:10">
      <c r="A125" s="84"/>
      <c r="B125" s="93"/>
      <c r="C125" s="88"/>
      <c r="D125" s="107"/>
      <c r="E125" s="105"/>
      <c r="F125" s="105"/>
      <c r="G125" s="89"/>
      <c r="H125" s="95"/>
      <c r="I125" s="97"/>
      <c r="J125" s="90"/>
    </row>
    <row r="126" spans="1:10">
      <c r="A126" s="84"/>
      <c r="B126" s="93"/>
      <c r="C126" s="88"/>
      <c r="D126" s="107"/>
      <c r="E126" s="105"/>
      <c r="F126" s="105"/>
      <c r="G126" s="89"/>
      <c r="H126" s="95"/>
      <c r="I126" s="97"/>
      <c r="J126" s="90"/>
    </row>
    <row r="127" spans="1:10">
      <c r="A127" s="84"/>
      <c r="B127" s="93"/>
      <c r="C127" s="88"/>
      <c r="D127" s="107"/>
      <c r="E127" s="105"/>
      <c r="F127" s="105"/>
      <c r="G127" s="89"/>
      <c r="H127" s="95"/>
      <c r="I127" s="97"/>
      <c r="J127" s="90"/>
    </row>
    <row r="128" spans="1:10">
      <c r="A128" s="84"/>
      <c r="B128" s="93"/>
      <c r="C128" s="88"/>
      <c r="D128" s="107"/>
      <c r="E128" s="105"/>
      <c r="F128" s="105"/>
      <c r="G128" s="89"/>
      <c r="H128" s="95"/>
      <c r="I128" s="97"/>
      <c r="J128" s="90"/>
    </row>
    <row r="129" spans="1:10">
      <c r="A129" s="84"/>
      <c r="B129" s="93"/>
      <c r="C129" s="88"/>
      <c r="D129" s="107"/>
      <c r="E129" s="105"/>
      <c r="F129" s="105"/>
      <c r="G129" s="89"/>
      <c r="H129" s="95"/>
      <c r="I129" s="97"/>
      <c r="J129" s="90"/>
    </row>
    <row r="130" spans="1:10">
      <c r="A130" s="84"/>
      <c r="B130" s="93"/>
      <c r="C130" s="88"/>
      <c r="D130" s="107"/>
      <c r="E130" s="105"/>
      <c r="F130" s="105"/>
      <c r="G130" s="89"/>
      <c r="H130" s="95"/>
      <c r="I130" s="97"/>
      <c r="J130" s="90"/>
    </row>
    <row r="131" spans="1:10">
      <c r="A131" s="84"/>
      <c r="B131" s="93"/>
      <c r="C131" s="88"/>
      <c r="D131" s="107"/>
      <c r="E131" s="105"/>
      <c r="F131" s="105"/>
      <c r="G131" s="89"/>
      <c r="H131" s="95"/>
      <c r="I131" s="97"/>
      <c r="J131" s="90"/>
    </row>
    <row r="132" spans="1:10">
      <c r="A132" s="84"/>
      <c r="B132" s="93"/>
      <c r="C132" s="88"/>
      <c r="D132" s="107"/>
      <c r="E132" s="105"/>
      <c r="F132" s="105"/>
      <c r="G132" s="89"/>
      <c r="H132" s="95"/>
      <c r="I132" s="97"/>
      <c r="J132" s="90"/>
    </row>
    <row r="133" spans="1:10">
      <c r="A133" s="84"/>
      <c r="B133" s="93"/>
      <c r="C133" s="88"/>
      <c r="D133" s="107"/>
      <c r="E133" s="105"/>
      <c r="F133" s="105"/>
      <c r="G133" s="89"/>
      <c r="H133" s="95"/>
      <c r="I133" s="97"/>
      <c r="J133" s="90"/>
    </row>
    <row r="134" spans="1:10">
      <c r="A134" s="84"/>
      <c r="B134" s="93"/>
      <c r="C134" s="88"/>
      <c r="D134" s="107"/>
      <c r="E134" s="105"/>
      <c r="F134" s="105"/>
      <c r="G134" s="89"/>
      <c r="H134" s="95"/>
      <c r="I134" s="97"/>
      <c r="J134" s="90"/>
    </row>
    <row r="135" spans="1:10">
      <c r="A135" s="84"/>
      <c r="B135" s="93"/>
      <c r="C135" s="88"/>
      <c r="D135" s="107"/>
      <c r="E135" s="105"/>
      <c r="F135" s="105"/>
      <c r="G135" s="89"/>
      <c r="H135" s="95"/>
      <c r="I135" s="97"/>
      <c r="J135" s="90"/>
    </row>
    <row r="136" spans="1:10">
      <c r="A136" s="84"/>
      <c r="B136" s="93"/>
      <c r="C136" s="88"/>
      <c r="D136" s="107"/>
      <c r="E136" s="105"/>
      <c r="F136" s="105"/>
      <c r="G136" s="89"/>
      <c r="H136" s="95"/>
      <c r="I136" s="97"/>
      <c r="J136" s="90"/>
    </row>
    <row r="137" spans="1:10">
      <c r="A137" s="84"/>
      <c r="B137" s="93"/>
      <c r="C137" s="88"/>
      <c r="D137" s="107"/>
      <c r="E137" s="105"/>
      <c r="F137" s="105"/>
      <c r="G137" s="89"/>
      <c r="H137" s="95"/>
      <c r="I137" s="97"/>
      <c r="J137" s="90"/>
    </row>
    <row r="138" spans="1:10">
      <c r="A138" s="84"/>
      <c r="B138" s="93"/>
      <c r="C138" s="88"/>
      <c r="D138" s="107"/>
      <c r="E138" s="105"/>
      <c r="F138" s="105"/>
      <c r="G138" s="89"/>
      <c r="H138" s="95"/>
      <c r="I138" s="97"/>
      <c r="J138" s="90"/>
    </row>
    <row r="139" spans="1:10">
      <c r="A139" s="84"/>
      <c r="B139" s="93"/>
      <c r="C139" s="88"/>
      <c r="D139" s="107"/>
      <c r="E139" s="105"/>
      <c r="F139" s="105"/>
      <c r="G139" s="89"/>
      <c r="H139" s="95"/>
      <c r="I139" s="97"/>
      <c r="J139" s="90"/>
    </row>
    <row r="140" spans="1:10">
      <c r="A140" s="84"/>
      <c r="B140" s="93"/>
      <c r="C140" s="88"/>
      <c r="D140" s="107"/>
      <c r="E140" s="105"/>
      <c r="F140" s="105"/>
      <c r="G140" s="89"/>
      <c r="H140" s="95"/>
      <c r="I140" s="97"/>
      <c r="J140" s="90"/>
    </row>
    <row r="141" spans="1:10">
      <c r="A141" s="84"/>
      <c r="B141" s="93"/>
      <c r="C141" s="88"/>
      <c r="D141" s="107"/>
      <c r="E141" s="105"/>
      <c r="F141" s="105"/>
      <c r="G141" s="89"/>
      <c r="H141" s="95"/>
      <c r="I141" s="97"/>
      <c r="J141" s="90"/>
    </row>
    <row r="142" spans="1:10">
      <c r="A142" s="84"/>
      <c r="B142" s="93"/>
      <c r="C142" s="88"/>
      <c r="D142" s="107"/>
      <c r="E142" s="105"/>
      <c r="F142" s="105"/>
      <c r="G142" s="89"/>
      <c r="H142" s="95"/>
      <c r="I142" s="97"/>
      <c r="J142" s="90"/>
    </row>
    <row r="143" spans="1:10">
      <c r="A143" s="84"/>
      <c r="B143" s="93"/>
      <c r="C143" s="88"/>
      <c r="D143" s="107"/>
      <c r="E143" s="105"/>
      <c r="F143" s="105"/>
      <c r="G143" s="89"/>
      <c r="H143" s="95"/>
      <c r="I143" s="97"/>
      <c r="J143" s="90"/>
    </row>
    <row r="144" spans="1:10">
      <c r="A144" s="84"/>
      <c r="B144" s="93"/>
      <c r="C144" s="88"/>
      <c r="D144" s="107"/>
      <c r="E144" s="105"/>
      <c r="F144" s="105"/>
      <c r="G144" s="89"/>
      <c r="H144" s="95"/>
      <c r="I144" s="97"/>
      <c r="J144" s="90"/>
    </row>
    <row r="145" spans="1:10">
      <c r="A145" s="84"/>
      <c r="B145" s="93"/>
      <c r="C145" s="88"/>
      <c r="D145" s="107"/>
      <c r="E145" s="105"/>
      <c r="F145" s="105"/>
      <c r="G145" s="89"/>
      <c r="H145" s="95"/>
      <c r="I145" s="97"/>
      <c r="J145" s="90"/>
    </row>
    <row r="146" spans="1:10">
      <c r="A146" s="84"/>
      <c r="B146" s="93"/>
      <c r="C146" s="88"/>
      <c r="D146" s="107"/>
      <c r="E146" s="105"/>
      <c r="F146" s="105"/>
      <c r="G146" s="89"/>
      <c r="H146" s="95"/>
      <c r="I146" s="97"/>
      <c r="J146" s="90"/>
    </row>
    <row r="147" spans="1:10">
      <c r="A147" s="84"/>
      <c r="B147" s="93"/>
      <c r="C147" s="88"/>
      <c r="D147" s="107"/>
      <c r="E147" s="105"/>
      <c r="F147" s="105"/>
      <c r="G147" s="89"/>
      <c r="H147" s="95"/>
      <c r="I147" s="97"/>
      <c r="J147" s="90"/>
    </row>
    <row r="148" spans="1:10">
      <c r="A148" s="84"/>
      <c r="B148" s="93"/>
      <c r="C148" s="88"/>
      <c r="D148" s="107"/>
      <c r="E148" s="105"/>
      <c r="F148" s="105"/>
      <c r="G148" s="89"/>
      <c r="H148" s="95"/>
      <c r="I148" s="97"/>
      <c r="J148" s="90"/>
    </row>
    <row r="149" spans="1:10">
      <c r="A149" s="84"/>
      <c r="B149" s="93"/>
      <c r="C149" s="88"/>
      <c r="D149" s="107"/>
      <c r="E149" s="105"/>
      <c r="F149" s="105"/>
      <c r="G149" s="89"/>
      <c r="H149" s="95"/>
      <c r="I149" s="97"/>
      <c r="J149" s="90"/>
    </row>
    <row r="150" spans="1:10">
      <c r="A150" s="84"/>
      <c r="B150" s="93"/>
      <c r="C150" s="88"/>
      <c r="D150" s="107"/>
      <c r="E150" s="105"/>
      <c r="F150" s="105"/>
      <c r="G150" s="89"/>
      <c r="H150" s="95"/>
      <c r="I150" s="97"/>
      <c r="J150" s="90"/>
    </row>
    <row r="151" spans="1:10">
      <c r="A151" s="84"/>
      <c r="B151" s="93"/>
      <c r="C151" s="88"/>
      <c r="D151" s="107"/>
      <c r="E151" s="105"/>
      <c r="F151" s="105"/>
      <c r="G151" s="89"/>
      <c r="H151" s="95"/>
      <c r="I151" s="97"/>
      <c r="J151" s="90"/>
    </row>
    <row r="152" spans="1:10">
      <c r="A152" s="84"/>
      <c r="B152" s="93"/>
      <c r="C152" s="88"/>
      <c r="D152" s="107"/>
      <c r="E152" s="105"/>
      <c r="F152" s="105"/>
      <c r="G152" s="89"/>
      <c r="H152" s="95"/>
      <c r="I152" s="97"/>
      <c r="J152" s="90"/>
    </row>
    <row r="153" spans="1:10">
      <c r="A153" s="84"/>
      <c r="B153" s="93"/>
      <c r="C153" s="88"/>
      <c r="D153" s="107"/>
      <c r="E153" s="105"/>
      <c r="F153" s="105"/>
      <c r="G153" s="89"/>
      <c r="H153" s="95"/>
      <c r="I153" s="97"/>
      <c r="J153" s="90"/>
    </row>
    <row r="154" spans="1:10">
      <c r="A154" s="84"/>
      <c r="B154" s="93"/>
      <c r="C154" s="88"/>
      <c r="D154" s="107"/>
      <c r="E154" s="105"/>
      <c r="F154" s="105"/>
      <c r="G154" s="89"/>
      <c r="H154" s="95"/>
      <c r="I154" s="97"/>
      <c r="J154" s="90"/>
    </row>
    <row r="155" spans="1:10">
      <c r="A155" s="84"/>
      <c r="B155" s="93"/>
      <c r="C155" s="88"/>
      <c r="D155" s="107"/>
      <c r="E155" s="105"/>
      <c r="F155" s="105"/>
      <c r="G155" s="89"/>
      <c r="H155" s="95"/>
      <c r="I155" s="97"/>
      <c r="J155" s="90"/>
    </row>
    <row r="156" spans="1:10">
      <c r="A156" s="84"/>
      <c r="B156" s="93"/>
      <c r="C156" s="88"/>
      <c r="D156" s="107"/>
      <c r="E156" s="105"/>
      <c r="F156" s="105"/>
      <c r="G156" s="89"/>
      <c r="H156" s="95"/>
      <c r="I156" s="97"/>
      <c r="J156" s="90"/>
    </row>
    <row r="157" spans="1:10">
      <c r="A157" s="84"/>
      <c r="B157" s="93"/>
      <c r="C157" s="88"/>
      <c r="D157" s="107"/>
      <c r="E157" s="105"/>
      <c r="F157" s="105"/>
      <c r="G157" s="89"/>
      <c r="H157" s="95"/>
      <c r="I157" s="97"/>
      <c r="J157" s="90"/>
    </row>
    <row r="158" spans="1:10">
      <c r="A158" s="84"/>
      <c r="B158" s="93"/>
      <c r="C158" s="88"/>
      <c r="D158" s="107"/>
      <c r="E158" s="105"/>
      <c r="F158" s="105"/>
      <c r="G158" s="89"/>
      <c r="H158" s="95"/>
      <c r="I158" s="97"/>
      <c r="J158" s="90"/>
    </row>
    <row r="159" spans="1:10">
      <c r="A159" s="84"/>
      <c r="B159" s="93"/>
      <c r="C159" s="88"/>
      <c r="D159" s="107"/>
      <c r="E159" s="105"/>
      <c r="F159" s="105"/>
      <c r="G159" s="89"/>
      <c r="H159" s="95"/>
      <c r="I159" s="97"/>
      <c r="J159" s="90"/>
    </row>
    <row r="160" spans="1:10">
      <c r="A160" s="84"/>
      <c r="B160" s="93"/>
      <c r="C160" s="88"/>
      <c r="D160" s="107"/>
      <c r="E160" s="105"/>
      <c r="F160" s="105"/>
      <c r="G160" s="89"/>
      <c r="H160" s="95"/>
      <c r="I160" s="97"/>
      <c r="J160" s="90"/>
    </row>
    <row r="161" spans="1:10">
      <c r="A161" s="84"/>
      <c r="B161" s="93"/>
      <c r="C161" s="88"/>
      <c r="D161" s="107"/>
      <c r="E161" s="105"/>
      <c r="F161" s="105"/>
      <c r="G161" s="89"/>
      <c r="H161" s="95"/>
      <c r="I161" s="97"/>
      <c r="J161" s="90"/>
    </row>
    <row r="162" spans="1:10">
      <c r="A162" s="84"/>
      <c r="B162" s="93"/>
      <c r="C162" s="88"/>
      <c r="D162" s="107"/>
      <c r="E162" s="105"/>
      <c r="F162" s="105"/>
      <c r="G162" s="89"/>
      <c r="H162" s="95"/>
      <c r="I162" s="97"/>
      <c r="J162" s="90"/>
    </row>
    <row r="163" spans="1:10">
      <c r="A163" s="84"/>
      <c r="B163" s="93"/>
      <c r="C163" s="88"/>
      <c r="D163" s="107"/>
      <c r="E163" s="105"/>
      <c r="F163" s="105"/>
      <c r="G163" s="89"/>
      <c r="H163" s="95"/>
      <c r="I163" s="97"/>
      <c r="J163" s="90"/>
    </row>
    <row r="164" spans="1:10">
      <c r="A164" s="84"/>
      <c r="B164" s="93"/>
      <c r="C164" s="88"/>
      <c r="D164" s="107"/>
      <c r="E164" s="105"/>
      <c r="F164" s="105"/>
      <c r="G164" s="89"/>
      <c r="H164" s="95"/>
      <c r="I164" s="97"/>
      <c r="J164" s="90"/>
    </row>
    <row r="165" spans="1:10">
      <c r="A165" s="84"/>
      <c r="B165" s="93"/>
      <c r="C165" s="88"/>
      <c r="D165" s="107"/>
      <c r="E165" s="105"/>
      <c r="F165" s="105"/>
      <c r="G165" s="89"/>
      <c r="H165" s="95"/>
      <c r="I165" s="97"/>
      <c r="J165" s="90"/>
    </row>
    <row r="166" spans="1:10">
      <c r="A166" s="84"/>
      <c r="B166" s="93"/>
      <c r="C166" s="88"/>
      <c r="D166" s="107"/>
      <c r="E166" s="105"/>
      <c r="F166" s="105"/>
      <c r="G166" s="89"/>
      <c r="H166" s="95"/>
      <c r="I166" s="97"/>
      <c r="J166" s="90"/>
    </row>
    <row r="167" spans="1:10">
      <c r="A167" s="84"/>
      <c r="B167" s="93"/>
      <c r="C167" s="88"/>
      <c r="D167" s="107"/>
      <c r="E167" s="105"/>
      <c r="F167" s="105"/>
      <c r="G167" s="89"/>
      <c r="H167" s="95"/>
      <c r="I167" s="97"/>
      <c r="J167" s="90"/>
    </row>
    <row r="168" spans="1:10">
      <c r="A168" s="84"/>
      <c r="B168" s="93"/>
      <c r="C168" s="88"/>
      <c r="D168" s="107"/>
      <c r="E168" s="105"/>
      <c r="F168" s="105"/>
      <c r="G168" s="89"/>
      <c r="H168" s="95"/>
      <c r="I168" s="97"/>
      <c r="J168" s="90"/>
    </row>
    <row r="169" spans="1:10">
      <c r="A169" s="84"/>
      <c r="B169" s="93"/>
      <c r="C169" s="88"/>
      <c r="D169" s="107"/>
      <c r="E169" s="105"/>
      <c r="F169" s="105"/>
      <c r="G169" s="89"/>
      <c r="H169" s="95"/>
      <c r="I169" s="97"/>
      <c r="J169" s="90"/>
    </row>
    <row r="170" spans="1:10">
      <c r="A170" s="84"/>
      <c r="B170" s="93"/>
      <c r="C170" s="88"/>
      <c r="D170" s="107"/>
      <c r="E170" s="105"/>
      <c r="F170" s="105"/>
      <c r="G170" s="89"/>
      <c r="H170" s="95"/>
      <c r="I170" s="97"/>
      <c r="J170" s="90"/>
    </row>
    <row r="171" spans="1:10">
      <c r="A171" s="84"/>
      <c r="B171" s="93"/>
      <c r="C171" s="88"/>
      <c r="D171" s="107"/>
      <c r="E171" s="105"/>
      <c r="F171" s="105"/>
      <c r="G171" s="89"/>
      <c r="H171" s="95"/>
      <c r="I171" s="97"/>
      <c r="J171" s="90"/>
    </row>
    <row r="172" spans="1:10">
      <c r="A172" s="84"/>
      <c r="B172" s="93"/>
      <c r="C172" s="88"/>
      <c r="D172" s="107"/>
      <c r="E172" s="105"/>
      <c r="F172" s="105"/>
      <c r="G172" s="89"/>
      <c r="H172" s="95"/>
      <c r="I172" s="97"/>
      <c r="J172" s="90"/>
    </row>
    <row r="173" spans="1:10">
      <c r="A173" s="84"/>
      <c r="B173" s="93"/>
      <c r="C173" s="88"/>
      <c r="D173" s="107"/>
      <c r="E173" s="105"/>
      <c r="F173" s="105"/>
      <c r="G173" s="89"/>
      <c r="H173" s="95"/>
      <c r="I173" s="97"/>
      <c r="J173" s="90"/>
    </row>
    <row r="174" spans="1:10">
      <c r="A174" s="84"/>
      <c r="B174" s="93"/>
      <c r="C174" s="88"/>
      <c r="D174" s="107"/>
      <c r="E174" s="105"/>
      <c r="F174" s="105"/>
      <c r="G174" s="89"/>
      <c r="H174" s="95"/>
      <c r="I174" s="97"/>
      <c r="J174" s="90"/>
    </row>
    <row r="175" spans="1:10">
      <c r="A175" s="84"/>
      <c r="B175" s="93"/>
      <c r="C175" s="88"/>
      <c r="D175" s="107"/>
      <c r="E175" s="105"/>
      <c r="F175" s="105"/>
      <c r="G175" s="89"/>
      <c r="H175" s="95"/>
      <c r="I175" s="97"/>
      <c r="J175" s="90"/>
    </row>
    <row r="176" spans="1:10">
      <c r="A176" s="84"/>
      <c r="B176" s="93"/>
      <c r="C176" s="88"/>
      <c r="D176" s="107"/>
      <c r="E176" s="105"/>
      <c r="F176" s="105"/>
      <c r="G176" s="89"/>
      <c r="H176" s="95"/>
      <c r="I176" s="97"/>
      <c r="J176" s="90"/>
    </row>
    <row r="177" spans="1:10">
      <c r="A177" s="84"/>
      <c r="B177" s="93"/>
      <c r="C177" s="88"/>
      <c r="D177" s="107"/>
      <c r="E177" s="105"/>
      <c r="F177" s="105"/>
      <c r="G177" s="89"/>
      <c r="H177" s="95"/>
      <c r="I177" s="97"/>
      <c r="J177" s="90"/>
    </row>
    <row r="178" spans="1:10">
      <c r="A178" s="84"/>
      <c r="B178" s="93"/>
      <c r="C178" s="88"/>
      <c r="D178" s="107"/>
      <c r="E178" s="105"/>
      <c r="F178" s="105"/>
      <c r="G178" s="89"/>
      <c r="H178" s="95"/>
      <c r="I178" s="97"/>
      <c r="J178" s="90"/>
    </row>
    <row r="179" spans="1:10">
      <c r="A179" s="84"/>
      <c r="B179" s="93"/>
      <c r="C179" s="88"/>
      <c r="D179" s="107"/>
      <c r="E179" s="105"/>
      <c r="F179" s="105"/>
      <c r="G179" s="89"/>
      <c r="H179" s="95"/>
      <c r="I179" s="97"/>
      <c r="J179" s="90"/>
    </row>
    <row r="180" spans="1:10">
      <c r="A180" s="84"/>
      <c r="B180" s="93"/>
      <c r="C180" s="88"/>
      <c r="D180" s="107"/>
      <c r="E180" s="105"/>
      <c r="F180" s="105"/>
      <c r="G180" s="89"/>
      <c r="H180" s="95"/>
      <c r="I180" s="97"/>
      <c r="J180" s="90"/>
    </row>
    <row r="181" spans="1:10">
      <c r="A181" s="84"/>
      <c r="B181" s="93"/>
      <c r="C181" s="88"/>
      <c r="D181" s="107"/>
      <c r="E181" s="105"/>
      <c r="F181" s="105"/>
      <c r="G181" s="89"/>
      <c r="H181" s="95"/>
      <c r="I181" s="97"/>
      <c r="J181" s="90"/>
    </row>
    <row r="182" spans="1:10">
      <c r="A182" s="84"/>
      <c r="B182" s="93"/>
      <c r="C182" s="88"/>
      <c r="D182" s="107"/>
      <c r="E182" s="105"/>
      <c r="F182" s="105"/>
      <c r="G182" s="89"/>
      <c r="H182" s="95"/>
      <c r="I182" s="97"/>
      <c r="J182" s="90"/>
    </row>
    <row r="183" spans="1:10">
      <c r="A183" s="84"/>
      <c r="B183" s="93"/>
      <c r="C183" s="88"/>
      <c r="D183" s="107"/>
      <c r="E183" s="105"/>
      <c r="F183" s="105"/>
      <c r="G183" s="89"/>
      <c r="H183" s="95"/>
      <c r="I183" s="97"/>
      <c r="J183" s="90"/>
    </row>
    <row r="184" spans="1:10">
      <c r="A184" s="84"/>
      <c r="B184" s="93"/>
      <c r="C184" s="88"/>
      <c r="D184" s="107"/>
      <c r="E184" s="105"/>
      <c r="F184" s="105"/>
      <c r="G184" s="89"/>
      <c r="H184" s="95"/>
      <c r="I184" s="97"/>
      <c r="J184" s="90"/>
    </row>
    <row r="185" spans="1:10">
      <c r="A185" s="84"/>
      <c r="B185" s="93"/>
      <c r="C185" s="88"/>
      <c r="D185" s="107"/>
      <c r="E185" s="105"/>
      <c r="F185" s="105"/>
      <c r="G185" s="89"/>
      <c r="H185" s="95"/>
      <c r="I185" s="97"/>
      <c r="J185" s="90"/>
    </row>
    <row r="186" spans="1:10">
      <c r="A186" s="84"/>
      <c r="B186" s="93"/>
      <c r="C186" s="88"/>
      <c r="D186" s="107"/>
      <c r="E186" s="105"/>
      <c r="F186" s="105"/>
      <c r="G186" s="89"/>
      <c r="H186" s="95"/>
      <c r="I186" s="97"/>
      <c r="J186" s="90"/>
    </row>
    <row r="187" spans="1:10">
      <c r="A187" s="84"/>
      <c r="B187" s="93"/>
      <c r="C187" s="88"/>
      <c r="D187" s="107"/>
      <c r="E187" s="105"/>
      <c r="F187" s="105"/>
      <c r="G187" s="89"/>
      <c r="H187" s="95"/>
      <c r="I187" s="97"/>
      <c r="J187" s="90"/>
    </row>
    <row r="188" spans="1:10">
      <c r="A188" s="84"/>
      <c r="B188" s="93"/>
      <c r="C188" s="88"/>
      <c r="D188" s="107"/>
      <c r="E188" s="105"/>
      <c r="F188" s="105"/>
      <c r="G188" s="89"/>
      <c r="H188" s="95"/>
      <c r="I188" s="97"/>
      <c r="J188" s="90"/>
    </row>
    <row r="189" spans="1:10">
      <c r="A189" s="84"/>
      <c r="B189" s="93"/>
      <c r="C189" s="88"/>
      <c r="D189" s="107"/>
      <c r="E189" s="105"/>
      <c r="F189" s="105"/>
      <c r="G189" s="89"/>
      <c r="H189" s="95"/>
      <c r="I189" s="97"/>
      <c r="J189" s="90"/>
    </row>
    <row r="190" spans="1:10">
      <c r="A190" s="84"/>
      <c r="B190" s="93"/>
      <c r="C190" s="88"/>
      <c r="D190" s="107"/>
      <c r="E190" s="105"/>
      <c r="F190" s="105"/>
      <c r="G190" s="89"/>
      <c r="H190" s="95"/>
      <c r="I190" s="97"/>
      <c r="J190" s="90"/>
    </row>
    <row r="191" spans="1:10">
      <c r="A191" s="84"/>
      <c r="B191" s="93"/>
      <c r="C191" s="88"/>
      <c r="D191" s="107"/>
      <c r="E191" s="105"/>
      <c r="F191" s="105"/>
      <c r="G191" s="89"/>
      <c r="H191" s="95"/>
      <c r="I191" s="97"/>
      <c r="J191" s="90"/>
    </row>
    <row r="192" spans="1:10">
      <c r="A192" s="84"/>
      <c r="B192" s="93"/>
      <c r="C192" s="88"/>
      <c r="D192" s="107"/>
      <c r="E192" s="105"/>
      <c r="F192" s="105"/>
      <c r="G192" s="89"/>
      <c r="H192" s="95"/>
      <c r="I192" s="97"/>
      <c r="J192" s="90"/>
    </row>
    <row r="193" spans="1:10">
      <c r="A193" s="84"/>
      <c r="B193" s="93"/>
      <c r="C193" s="88"/>
      <c r="D193" s="107"/>
      <c r="E193" s="105"/>
      <c r="F193" s="105"/>
      <c r="G193" s="89"/>
      <c r="H193" s="95"/>
      <c r="I193" s="97"/>
      <c r="J193" s="90"/>
    </row>
    <row r="194" spans="1:10">
      <c r="A194" s="84"/>
      <c r="B194" s="93"/>
      <c r="C194" s="88"/>
      <c r="D194" s="107"/>
      <c r="E194" s="105"/>
      <c r="F194" s="105"/>
      <c r="G194" s="89"/>
      <c r="H194" s="95"/>
      <c r="I194" s="97"/>
      <c r="J194" s="90"/>
    </row>
    <row r="195" spans="1:10">
      <c r="A195" s="84"/>
      <c r="B195" s="93"/>
      <c r="C195" s="88"/>
      <c r="D195" s="107"/>
      <c r="E195" s="105"/>
      <c r="F195" s="105"/>
      <c r="G195" s="89"/>
      <c r="H195" s="95"/>
      <c r="I195" s="97"/>
      <c r="J195" s="90"/>
    </row>
    <row r="196" spans="1:10">
      <c r="A196" s="84"/>
      <c r="B196" s="93"/>
      <c r="C196" s="88"/>
      <c r="D196" s="107"/>
      <c r="E196" s="105"/>
      <c r="F196" s="105"/>
      <c r="G196" s="89"/>
      <c r="H196" s="95"/>
      <c r="I196" s="97"/>
      <c r="J196" s="90"/>
    </row>
    <row r="197" spans="1:10">
      <c r="A197" s="84"/>
      <c r="B197" s="93"/>
      <c r="C197" s="88"/>
      <c r="D197" s="107"/>
      <c r="E197" s="105"/>
      <c r="F197" s="105"/>
      <c r="G197" s="89"/>
      <c r="H197" s="95"/>
      <c r="I197" s="97"/>
      <c r="J197" s="90"/>
    </row>
    <row r="198" spans="1:10">
      <c r="A198" s="84"/>
      <c r="B198" s="93"/>
      <c r="C198" s="88"/>
      <c r="D198" s="107"/>
      <c r="E198" s="105"/>
      <c r="F198" s="105"/>
      <c r="G198" s="89"/>
      <c r="H198" s="95"/>
      <c r="I198" s="97"/>
      <c r="J198" s="90"/>
    </row>
    <row r="199" spans="1:10">
      <c r="A199" s="84"/>
      <c r="B199" s="93"/>
      <c r="C199" s="88"/>
      <c r="D199" s="107"/>
      <c r="E199" s="105"/>
      <c r="F199" s="105"/>
      <c r="G199" s="89"/>
      <c r="H199" s="95"/>
      <c r="I199" s="97"/>
      <c r="J199" s="90"/>
    </row>
    <row r="200" spans="1:10">
      <c r="A200" s="84"/>
      <c r="B200" s="93"/>
      <c r="C200" s="88"/>
      <c r="D200" s="107"/>
      <c r="E200" s="105"/>
      <c r="F200" s="105"/>
      <c r="G200" s="89"/>
      <c r="H200" s="95"/>
      <c r="I200" s="97"/>
      <c r="J200" s="90"/>
    </row>
    <row r="201" spans="1:10">
      <c r="A201" s="84"/>
      <c r="B201" s="93"/>
      <c r="C201" s="88"/>
      <c r="D201" s="107"/>
      <c r="E201" s="105"/>
      <c r="F201" s="105"/>
      <c r="G201" s="89"/>
      <c r="H201" s="95"/>
      <c r="I201" s="97"/>
      <c r="J201" s="90"/>
    </row>
    <row r="202" spans="1:10">
      <c r="A202" s="84"/>
      <c r="B202" s="93"/>
      <c r="C202" s="88"/>
      <c r="D202" s="107"/>
      <c r="E202" s="105"/>
      <c r="F202" s="105"/>
      <c r="G202" s="89"/>
      <c r="H202" s="95"/>
      <c r="I202" s="97"/>
      <c r="J202" s="90"/>
    </row>
    <row r="203" spans="1:10">
      <c r="A203" s="84"/>
      <c r="B203" s="93"/>
      <c r="C203" s="88"/>
      <c r="D203" s="107"/>
      <c r="E203" s="105"/>
      <c r="F203" s="105"/>
      <c r="G203" s="89"/>
      <c r="H203" s="95"/>
      <c r="I203" s="97"/>
      <c r="J203" s="90"/>
    </row>
    <row r="204" spans="1:10">
      <c r="A204" s="84"/>
      <c r="B204" s="93"/>
      <c r="C204" s="88"/>
      <c r="D204" s="107"/>
      <c r="E204" s="105"/>
      <c r="F204" s="105"/>
      <c r="G204" s="89"/>
      <c r="H204" s="95"/>
      <c r="I204" s="97"/>
      <c r="J204" s="90"/>
    </row>
    <row r="205" spans="1:10">
      <c r="A205" s="84"/>
      <c r="B205" s="93"/>
      <c r="C205" s="88"/>
      <c r="D205" s="107"/>
      <c r="E205" s="105"/>
      <c r="F205" s="105"/>
      <c r="G205" s="89"/>
      <c r="H205" s="95"/>
      <c r="I205" s="97"/>
      <c r="J205" s="90"/>
    </row>
    <row r="206" spans="1:10">
      <c r="A206" s="84"/>
      <c r="B206" s="93"/>
      <c r="C206" s="88"/>
      <c r="D206" s="107"/>
      <c r="E206" s="105"/>
      <c r="F206" s="105"/>
      <c r="G206" s="89"/>
      <c r="H206" s="95"/>
      <c r="I206" s="97"/>
      <c r="J206" s="90"/>
    </row>
    <row r="207" spans="1:10">
      <c r="A207" s="84"/>
      <c r="B207" s="93"/>
      <c r="C207" s="88"/>
      <c r="D207" s="107"/>
      <c r="E207" s="105"/>
      <c r="F207" s="105"/>
      <c r="G207" s="89"/>
      <c r="H207" s="95"/>
      <c r="I207" s="97"/>
      <c r="J207" s="90"/>
    </row>
    <row r="208" spans="1:10">
      <c r="A208" s="84"/>
      <c r="B208" s="93"/>
      <c r="C208" s="88"/>
      <c r="D208" s="107"/>
      <c r="E208" s="105"/>
      <c r="F208" s="105"/>
      <c r="G208" s="89"/>
      <c r="H208" s="95"/>
      <c r="I208" s="97"/>
      <c r="J208" s="90"/>
    </row>
    <row r="209" spans="1:10">
      <c r="A209" s="84"/>
      <c r="B209" s="93"/>
      <c r="C209" s="88"/>
      <c r="D209" s="107"/>
      <c r="E209" s="105"/>
      <c r="F209" s="105"/>
      <c r="G209" s="89"/>
      <c r="H209" s="95"/>
      <c r="I209" s="97"/>
      <c r="J209" s="90"/>
    </row>
    <row r="210" spans="1:10">
      <c r="A210" s="84"/>
      <c r="B210" s="93"/>
      <c r="C210" s="88"/>
      <c r="D210" s="107"/>
      <c r="E210" s="105"/>
      <c r="F210" s="105"/>
      <c r="G210" s="89"/>
      <c r="H210" s="95"/>
      <c r="I210" s="97"/>
      <c r="J210" s="90"/>
    </row>
    <row r="211" spans="1:10">
      <c r="A211" s="84"/>
      <c r="B211" s="93"/>
      <c r="C211" s="88"/>
      <c r="D211" s="107"/>
      <c r="E211" s="105"/>
      <c r="F211" s="105"/>
      <c r="G211" s="89"/>
      <c r="H211" s="95"/>
      <c r="I211" s="97"/>
      <c r="J211" s="90"/>
    </row>
    <row r="212" spans="1:10">
      <c r="A212" s="84"/>
      <c r="B212" s="93"/>
      <c r="C212" s="88"/>
      <c r="D212" s="107"/>
      <c r="E212" s="105"/>
      <c r="F212" s="105"/>
      <c r="G212" s="89"/>
      <c r="H212" s="95"/>
      <c r="I212" s="97"/>
      <c r="J212" s="90"/>
    </row>
    <row r="213" spans="1:10">
      <c r="A213" s="84"/>
      <c r="B213" s="93"/>
      <c r="C213" s="88"/>
      <c r="D213" s="107"/>
      <c r="E213" s="105"/>
      <c r="F213" s="105"/>
      <c r="G213" s="89"/>
      <c r="H213" s="95"/>
      <c r="I213" s="97"/>
      <c r="J213" s="90"/>
    </row>
    <row r="214" spans="1:10">
      <c r="A214" s="84"/>
      <c r="B214" s="93"/>
      <c r="C214" s="88"/>
      <c r="D214" s="107"/>
      <c r="E214" s="105"/>
      <c r="F214" s="105"/>
      <c r="G214" s="89"/>
      <c r="H214" s="95"/>
      <c r="I214" s="97"/>
      <c r="J214" s="90"/>
    </row>
    <row r="215" spans="1:10">
      <c r="A215" s="84"/>
      <c r="B215" s="93"/>
      <c r="C215" s="88"/>
      <c r="D215" s="107"/>
      <c r="E215" s="105"/>
      <c r="F215" s="105"/>
      <c r="G215" s="89"/>
      <c r="H215" s="95"/>
      <c r="I215" s="97"/>
      <c r="J215" s="90"/>
    </row>
    <row r="216" spans="1:10">
      <c r="A216" s="84"/>
      <c r="B216" s="93"/>
      <c r="C216" s="88"/>
      <c r="D216" s="107"/>
      <c r="E216" s="105"/>
      <c r="F216" s="105"/>
      <c r="G216" s="89"/>
      <c r="H216" s="95"/>
      <c r="I216" s="97"/>
      <c r="J216" s="90"/>
    </row>
    <row r="217" spans="1:10">
      <c r="A217" s="84"/>
      <c r="B217" s="93"/>
      <c r="C217" s="88"/>
      <c r="D217" s="107"/>
      <c r="E217" s="105"/>
      <c r="F217" s="105"/>
      <c r="G217" s="89"/>
      <c r="H217" s="95"/>
      <c r="I217" s="97"/>
      <c r="J217" s="90"/>
    </row>
    <row r="218" spans="1:10">
      <c r="A218" s="84"/>
      <c r="B218" s="93"/>
      <c r="C218" s="88"/>
      <c r="D218" s="107"/>
      <c r="E218" s="105"/>
      <c r="F218" s="105"/>
      <c r="G218" s="89"/>
      <c r="H218" s="95"/>
      <c r="I218" s="97"/>
      <c r="J218" s="90"/>
    </row>
    <row r="219" spans="1:10">
      <c r="A219" s="84"/>
      <c r="B219" s="93"/>
      <c r="C219" s="88"/>
      <c r="D219" s="107"/>
      <c r="E219" s="105"/>
      <c r="F219" s="105"/>
      <c r="G219" s="89"/>
      <c r="H219" s="95"/>
      <c r="I219" s="97"/>
      <c r="J219" s="90"/>
    </row>
    <row r="220" spans="1:10">
      <c r="A220" s="84"/>
      <c r="B220" s="93"/>
      <c r="C220" s="88"/>
      <c r="D220" s="107"/>
      <c r="E220" s="105"/>
      <c r="F220" s="105"/>
      <c r="G220" s="89"/>
      <c r="H220" s="95"/>
      <c r="I220" s="97"/>
      <c r="J220" s="90"/>
    </row>
    <row r="221" spans="1:10">
      <c r="A221" s="84"/>
      <c r="B221" s="93"/>
      <c r="C221" s="88"/>
      <c r="D221" s="107"/>
      <c r="E221" s="105"/>
      <c r="F221" s="105"/>
      <c r="G221" s="89"/>
      <c r="H221" s="95"/>
      <c r="I221" s="97"/>
      <c r="J221" s="90"/>
    </row>
    <row r="222" spans="1:10">
      <c r="A222" s="84"/>
      <c r="B222" s="93"/>
      <c r="C222" s="88"/>
      <c r="D222" s="107"/>
      <c r="E222" s="105"/>
      <c r="F222" s="105"/>
      <c r="G222" s="89"/>
      <c r="H222" s="95"/>
      <c r="I222" s="97"/>
      <c r="J222" s="90"/>
    </row>
    <row r="223" spans="1:10">
      <c r="A223" s="84"/>
      <c r="B223" s="93"/>
      <c r="C223" s="88"/>
      <c r="D223" s="107"/>
      <c r="E223" s="105"/>
      <c r="F223" s="105"/>
      <c r="G223" s="89"/>
      <c r="H223" s="95"/>
      <c r="I223" s="97"/>
      <c r="J223" s="90"/>
    </row>
    <row r="224" spans="1:10">
      <c r="A224" s="84"/>
      <c r="B224" s="93"/>
      <c r="C224" s="88"/>
      <c r="D224" s="107"/>
      <c r="E224" s="105"/>
      <c r="F224" s="105"/>
      <c r="G224" s="89"/>
      <c r="H224" s="95"/>
      <c r="I224" s="97"/>
      <c r="J224" s="90"/>
    </row>
    <row r="225" spans="1:10">
      <c r="A225" s="84"/>
      <c r="B225" s="93"/>
      <c r="C225" s="88"/>
      <c r="D225" s="107"/>
      <c r="E225" s="105"/>
      <c r="F225" s="105"/>
      <c r="G225" s="89"/>
      <c r="H225" s="95"/>
      <c r="I225" s="97"/>
      <c r="J225" s="90"/>
    </row>
    <row r="226" spans="1:10">
      <c r="A226" s="84"/>
      <c r="B226" s="93"/>
      <c r="C226" s="88"/>
      <c r="D226" s="107"/>
      <c r="E226" s="105"/>
      <c r="F226" s="105"/>
      <c r="G226" s="89"/>
      <c r="H226" s="95"/>
      <c r="I226" s="97"/>
      <c r="J226" s="90"/>
    </row>
    <row r="227" spans="1:10">
      <c r="A227" s="84"/>
      <c r="B227" s="93"/>
      <c r="C227" s="88"/>
      <c r="D227" s="107"/>
      <c r="E227" s="105"/>
      <c r="F227" s="105"/>
      <c r="G227" s="89"/>
      <c r="H227" s="95"/>
      <c r="I227" s="97"/>
      <c r="J227" s="90"/>
    </row>
    <row r="228" spans="1:10">
      <c r="A228" s="84"/>
      <c r="B228" s="93"/>
      <c r="C228" s="88"/>
      <c r="D228" s="107"/>
      <c r="E228" s="105"/>
      <c r="F228" s="105"/>
      <c r="G228" s="89"/>
      <c r="H228" s="95"/>
      <c r="I228" s="97"/>
      <c r="J228" s="90"/>
    </row>
    <row r="229" spans="1:10">
      <c r="A229" s="84"/>
      <c r="B229" s="93"/>
      <c r="C229" s="88"/>
      <c r="D229" s="107"/>
      <c r="E229" s="105"/>
      <c r="F229" s="105"/>
      <c r="G229" s="89"/>
      <c r="H229" s="95"/>
      <c r="I229" s="97"/>
      <c r="J229" s="90"/>
    </row>
    <row r="230" spans="1:10">
      <c r="A230" s="84"/>
      <c r="B230" s="93"/>
      <c r="C230" s="88"/>
      <c r="D230" s="107"/>
      <c r="E230" s="105"/>
      <c r="F230" s="105"/>
      <c r="G230" s="89"/>
      <c r="H230" s="95"/>
      <c r="I230" s="97"/>
      <c r="J230" s="90"/>
    </row>
    <row r="231" spans="1:10">
      <c r="A231" s="84"/>
      <c r="B231" s="93"/>
      <c r="C231" s="88"/>
      <c r="D231" s="107"/>
      <c r="E231" s="105"/>
      <c r="F231" s="105"/>
      <c r="G231" s="89"/>
      <c r="H231" s="95"/>
      <c r="I231" s="97"/>
      <c r="J231" s="90"/>
    </row>
    <row r="232" spans="1:10">
      <c r="A232" s="84"/>
      <c r="B232" s="93"/>
      <c r="C232" s="88"/>
      <c r="D232" s="107"/>
      <c r="E232" s="105"/>
      <c r="F232" s="105"/>
      <c r="G232" s="89"/>
      <c r="H232" s="95"/>
      <c r="I232" s="97"/>
      <c r="J232" s="90"/>
    </row>
    <row r="233" spans="1:10">
      <c r="A233" s="84"/>
      <c r="B233" s="93"/>
      <c r="C233" s="88"/>
      <c r="D233" s="107"/>
      <c r="E233" s="105"/>
      <c r="F233" s="105"/>
      <c r="G233" s="89"/>
      <c r="H233" s="95"/>
      <c r="I233" s="97"/>
      <c r="J233" s="90"/>
    </row>
    <row r="234" spans="1:10">
      <c r="A234" s="84"/>
      <c r="B234" s="93"/>
      <c r="C234" s="88"/>
      <c r="D234" s="107"/>
      <c r="E234" s="105"/>
      <c r="F234" s="105"/>
      <c r="G234" s="89"/>
      <c r="H234" s="95"/>
      <c r="I234" s="97"/>
      <c r="J234" s="90"/>
    </row>
    <row r="235" spans="1:10">
      <c r="A235" s="84"/>
      <c r="B235" s="93"/>
      <c r="C235" s="88"/>
      <c r="D235" s="107"/>
      <c r="E235" s="105"/>
      <c r="F235" s="105"/>
      <c r="G235" s="89"/>
      <c r="H235" s="95"/>
      <c r="I235" s="97"/>
      <c r="J235" s="90"/>
    </row>
    <row r="236" spans="1:10">
      <c r="A236" s="84"/>
      <c r="B236" s="93"/>
      <c r="C236" s="88"/>
      <c r="D236" s="107"/>
      <c r="E236" s="105"/>
      <c r="F236" s="105"/>
      <c r="G236" s="89"/>
      <c r="H236" s="95"/>
      <c r="I236" s="97"/>
      <c r="J236" s="90"/>
    </row>
    <row r="237" spans="1:10">
      <c r="A237" s="84"/>
      <c r="B237" s="93"/>
      <c r="C237" s="88"/>
      <c r="D237" s="107"/>
      <c r="E237" s="105"/>
      <c r="F237" s="105"/>
      <c r="G237" s="89"/>
      <c r="H237" s="95"/>
      <c r="I237" s="97"/>
      <c r="J237" s="90"/>
    </row>
    <row r="238" spans="1:10">
      <c r="A238" s="84"/>
      <c r="B238" s="93"/>
      <c r="C238" s="88"/>
      <c r="D238" s="107"/>
      <c r="E238" s="105"/>
      <c r="F238" s="105"/>
      <c r="G238" s="89"/>
      <c r="H238" s="95"/>
      <c r="I238" s="97"/>
      <c r="J238" s="90"/>
    </row>
    <row r="239" spans="1:10">
      <c r="A239" s="84"/>
      <c r="B239" s="93"/>
      <c r="C239" s="88"/>
      <c r="D239" s="107"/>
      <c r="E239" s="105"/>
      <c r="F239" s="105"/>
      <c r="G239" s="89"/>
      <c r="H239" s="95"/>
      <c r="I239" s="97"/>
      <c r="J239" s="90"/>
    </row>
    <row r="240" spans="1:10">
      <c r="A240" s="84"/>
      <c r="B240" s="93"/>
      <c r="C240" s="88"/>
      <c r="D240" s="107"/>
      <c r="E240" s="105"/>
      <c r="F240" s="105"/>
      <c r="G240" s="89"/>
      <c r="H240" s="95"/>
      <c r="I240" s="97"/>
      <c r="J240" s="90"/>
    </row>
    <row r="241" spans="1:10">
      <c r="A241" s="84"/>
      <c r="B241" s="93"/>
      <c r="C241" s="88"/>
      <c r="D241" s="107"/>
      <c r="E241" s="105"/>
      <c r="F241" s="105"/>
      <c r="G241" s="89"/>
      <c r="H241" s="95"/>
      <c r="I241" s="97"/>
      <c r="J241" s="90"/>
    </row>
    <row r="242" spans="1:10">
      <c r="A242" s="84"/>
      <c r="B242" s="93"/>
      <c r="C242" s="88"/>
      <c r="D242" s="107"/>
      <c r="E242" s="105"/>
      <c r="F242" s="105"/>
      <c r="G242" s="89"/>
      <c r="H242" s="95"/>
      <c r="I242" s="97"/>
      <c r="J242" s="90"/>
    </row>
    <row r="243" spans="1:10">
      <c r="A243" s="84"/>
      <c r="B243" s="93"/>
      <c r="C243" s="88"/>
      <c r="D243" s="107"/>
      <c r="E243" s="105"/>
      <c r="F243" s="105"/>
      <c r="G243" s="89"/>
      <c r="H243" s="95"/>
      <c r="I243" s="97"/>
      <c r="J243" s="90"/>
    </row>
    <row r="244" spans="1:10">
      <c r="A244" s="84"/>
      <c r="B244" s="93"/>
      <c r="C244" s="88"/>
      <c r="D244" s="107"/>
      <c r="E244" s="105"/>
      <c r="F244" s="105"/>
      <c r="G244" s="89"/>
      <c r="H244" s="95"/>
      <c r="I244" s="97"/>
      <c r="J244" s="90"/>
    </row>
    <row r="245" spans="1:10">
      <c r="A245" s="84"/>
      <c r="B245" s="93"/>
      <c r="C245" s="88"/>
      <c r="D245" s="107"/>
      <c r="E245" s="105"/>
      <c r="F245" s="105"/>
      <c r="G245" s="89"/>
      <c r="H245" s="95"/>
      <c r="I245" s="97"/>
      <c r="J245" s="90"/>
    </row>
    <row r="246" spans="1:10">
      <c r="A246" s="84"/>
      <c r="B246" s="93"/>
      <c r="C246" s="88"/>
      <c r="D246" s="107"/>
      <c r="E246" s="105"/>
      <c r="F246" s="105"/>
      <c r="G246" s="89"/>
      <c r="H246" s="95"/>
      <c r="I246" s="97"/>
      <c r="J246" s="90"/>
    </row>
    <row r="247" spans="1:10">
      <c r="A247" s="84"/>
      <c r="B247" s="93"/>
      <c r="C247" s="88"/>
      <c r="D247" s="107"/>
      <c r="E247" s="105"/>
      <c r="F247" s="105"/>
      <c r="G247" s="89"/>
      <c r="H247" s="95"/>
      <c r="I247" s="97"/>
      <c r="J247" s="90"/>
    </row>
    <row r="248" spans="1:10">
      <c r="A248" s="84"/>
      <c r="B248" s="93"/>
      <c r="C248" s="88"/>
      <c r="D248" s="107"/>
      <c r="E248" s="105"/>
      <c r="F248" s="105"/>
      <c r="G248" s="89"/>
      <c r="H248" s="95"/>
      <c r="I248" s="97"/>
      <c r="J248" s="90"/>
    </row>
    <row r="249" spans="1:10">
      <c r="A249" s="84"/>
      <c r="B249" s="93"/>
      <c r="C249" s="88"/>
      <c r="D249" s="107"/>
      <c r="E249" s="105"/>
      <c r="F249" s="105"/>
      <c r="G249" s="89"/>
      <c r="H249" s="95"/>
      <c r="I249" s="97"/>
      <c r="J249" s="90"/>
    </row>
    <row r="250" spans="1:10">
      <c r="A250" s="84"/>
      <c r="B250" s="93"/>
      <c r="C250" s="88"/>
      <c r="D250" s="107"/>
      <c r="E250" s="105"/>
      <c r="F250" s="105"/>
      <c r="G250" s="89"/>
      <c r="H250" s="95"/>
      <c r="I250" s="97"/>
      <c r="J250" s="90"/>
    </row>
    <row r="251" spans="1:10">
      <c r="A251" s="84"/>
      <c r="B251" s="93"/>
      <c r="C251" s="88"/>
      <c r="D251" s="107"/>
      <c r="E251" s="105"/>
      <c r="F251" s="105"/>
      <c r="G251" s="89"/>
      <c r="H251" s="95"/>
      <c r="I251" s="97"/>
      <c r="J251" s="90"/>
    </row>
    <row r="252" spans="1:10">
      <c r="A252" s="84"/>
      <c r="B252" s="93"/>
      <c r="C252" s="88"/>
      <c r="D252" s="107"/>
      <c r="E252" s="105"/>
      <c r="F252" s="105"/>
      <c r="G252" s="89"/>
      <c r="H252" s="95"/>
      <c r="I252" s="97"/>
      <c r="J252" s="90"/>
    </row>
    <row r="253" spans="1:10">
      <c r="A253" s="84"/>
      <c r="B253" s="93"/>
      <c r="C253" s="88"/>
      <c r="D253" s="107"/>
      <c r="E253" s="105"/>
      <c r="F253" s="105"/>
      <c r="G253" s="89"/>
      <c r="H253" s="95"/>
      <c r="I253" s="97"/>
      <c r="J253" s="90"/>
    </row>
    <row r="254" spans="1:10">
      <c r="A254" s="84"/>
      <c r="B254" s="93"/>
      <c r="C254" s="88"/>
      <c r="D254" s="107"/>
      <c r="E254" s="105"/>
      <c r="F254" s="105"/>
      <c r="G254" s="89"/>
      <c r="H254" s="95"/>
      <c r="I254" s="97"/>
      <c r="J254" s="90"/>
    </row>
    <row r="255" spans="1:10">
      <c r="A255" s="84"/>
      <c r="B255" s="93"/>
      <c r="C255" s="88"/>
      <c r="D255" s="107"/>
      <c r="E255" s="105"/>
      <c r="F255" s="105"/>
      <c r="G255" s="89"/>
      <c r="H255" s="95"/>
      <c r="I255" s="97"/>
      <c r="J255" s="90"/>
    </row>
    <row r="256" spans="1:10">
      <c r="A256" s="84"/>
      <c r="B256" s="93"/>
      <c r="C256" s="88"/>
      <c r="D256" s="107"/>
      <c r="E256" s="105"/>
      <c r="F256" s="105"/>
      <c r="G256" s="89"/>
      <c r="H256" s="95"/>
      <c r="I256" s="97"/>
      <c r="J256" s="90"/>
    </row>
    <row r="257" spans="1:10">
      <c r="A257" s="84"/>
      <c r="B257" s="93"/>
      <c r="C257" s="88"/>
      <c r="D257" s="107"/>
      <c r="E257" s="105"/>
      <c r="F257" s="105"/>
      <c r="G257" s="89"/>
      <c r="H257" s="95"/>
      <c r="I257" s="97"/>
      <c r="J257" s="90"/>
    </row>
    <row r="258" spans="1:10">
      <c r="A258" s="84"/>
      <c r="B258" s="93"/>
      <c r="C258" s="88"/>
      <c r="D258" s="107"/>
      <c r="E258" s="105"/>
      <c r="F258" s="105"/>
      <c r="G258" s="89"/>
      <c r="H258" s="95"/>
      <c r="I258" s="97"/>
      <c r="J258" s="90"/>
    </row>
    <row r="259" spans="1:10">
      <c r="A259" s="84"/>
      <c r="B259" s="93"/>
      <c r="C259" s="88"/>
      <c r="D259" s="107"/>
      <c r="E259" s="105"/>
      <c r="F259" s="105"/>
      <c r="G259" s="89"/>
      <c r="H259" s="95"/>
      <c r="I259" s="97"/>
      <c r="J259" s="90"/>
    </row>
    <row r="260" spans="1:10">
      <c r="A260" s="84"/>
      <c r="B260" s="93"/>
      <c r="C260" s="88"/>
      <c r="D260" s="107"/>
      <c r="E260" s="105"/>
      <c r="F260" s="105"/>
      <c r="G260" s="89"/>
      <c r="H260" s="95"/>
      <c r="I260" s="97"/>
      <c r="J260" s="90"/>
    </row>
    <row r="261" spans="1:10">
      <c r="A261" s="84"/>
      <c r="B261" s="93"/>
      <c r="C261" s="88"/>
      <c r="D261" s="107"/>
      <c r="E261" s="105"/>
      <c r="F261" s="105"/>
      <c r="G261" s="89"/>
      <c r="H261" s="95"/>
      <c r="I261" s="97"/>
      <c r="J261" s="90"/>
    </row>
    <row r="262" spans="1:10">
      <c r="A262" s="84"/>
      <c r="B262" s="93"/>
      <c r="C262" s="88"/>
      <c r="D262" s="107"/>
      <c r="E262" s="105"/>
      <c r="F262" s="105"/>
      <c r="G262" s="89"/>
      <c r="H262" s="95"/>
      <c r="I262" s="97"/>
      <c r="J262" s="90"/>
    </row>
    <row r="263" spans="1:10">
      <c r="A263" s="84"/>
      <c r="B263" s="93"/>
      <c r="C263" s="88"/>
      <c r="D263" s="107"/>
      <c r="E263" s="105"/>
      <c r="F263" s="105"/>
      <c r="G263" s="89"/>
      <c r="H263" s="95"/>
      <c r="I263" s="97"/>
      <c r="J263" s="90"/>
    </row>
    <row r="264" spans="1:10">
      <c r="A264" s="84"/>
      <c r="B264" s="93"/>
      <c r="C264" s="88"/>
      <c r="D264" s="107"/>
      <c r="E264" s="105"/>
      <c r="F264" s="105"/>
      <c r="G264" s="89"/>
      <c r="H264" s="95"/>
      <c r="I264" s="97"/>
      <c r="J264" s="90"/>
    </row>
    <row r="265" spans="1:10">
      <c r="A265" s="84"/>
      <c r="B265" s="93"/>
      <c r="C265" s="88"/>
      <c r="D265" s="107"/>
      <c r="E265" s="105"/>
      <c r="F265" s="105"/>
      <c r="G265" s="89"/>
      <c r="H265" s="95"/>
      <c r="I265" s="97"/>
      <c r="J265" s="90"/>
    </row>
    <row r="266" spans="1:10">
      <c r="A266" s="84"/>
      <c r="B266" s="93"/>
      <c r="C266" s="88"/>
      <c r="D266" s="107"/>
      <c r="E266" s="105"/>
      <c r="F266" s="105"/>
      <c r="G266" s="89"/>
      <c r="H266" s="95"/>
      <c r="I266" s="97"/>
      <c r="J266" s="90"/>
    </row>
    <row r="267" spans="1:10">
      <c r="A267" s="84"/>
      <c r="B267" s="93"/>
      <c r="C267" s="88"/>
      <c r="D267" s="107"/>
      <c r="E267" s="105"/>
      <c r="F267" s="105"/>
      <c r="G267" s="89"/>
      <c r="H267" s="95"/>
      <c r="I267" s="97"/>
      <c r="J267" s="90"/>
    </row>
    <row r="268" spans="1:10">
      <c r="A268" s="84"/>
      <c r="B268" s="93"/>
      <c r="C268" s="88"/>
      <c r="D268" s="107"/>
      <c r="E268" s="105"/>
      <c r="F268" s="105"/>
      <c r="G268" s="89"/>
      <c r="H268" s="95"/>
      <c r="I268" s="97"/>
      <c r="J268" s="90"/>
    </row>
    <row r="269" spans="1:10">
      <c r="A269" s="84"/>
      <c r="B269" s="93"/>
      <c r="C269" s="88"/>
      <c r="D269" s="107"/>
      <c r="E269" s="105"/>
      <c r="F269" s="105"/>
      <c r="G269" s="89"/>
      <c r="H269" s="95"/>
      <c r="I269" s="97"/>
      <c r="J269" s="90"/>
    </row>
    <row r="270" spans="1:10">
      <c r="A270" s="84"/>
      <c r="B270" s="93"/>
      <c r="C270" s="88"/>
      <c r="D270" s="107"/>
      <c r="E270" s="105"/>
      <c r="F270" s="105"/>
      <c r="G270" s="89"/>
      <c r="H270" s="95"/>
      <c r="I270" s="97"/>
      <c r="J270" s="90"/>
    </row>
    <row r="271" spans="1:10">
      <c r="A271" s="84"/>
      <c r="B271" s="93"/>
      <c r="C271" s="88"/>
      <c r="D271" s="107"/>
      <c r="E271" s="105"/>
      <c r="F271" s="105"/>
      <c r="G271" s="89"/>
      <c r="H271" s="95"/>
      <c r="I271" s="97"/>
      <c r="J271" s="90"/>
    </row>
    <row r="272" spans="1:10">
      <c r="A272" s="84"/>
      <c r="B272" s="93"/>
      <c r="C272" s="88"/>
      <c r="D272" s="107"/>
      <c r="E272" s="105"/>
      <c r="F272" s="105"/>
      <c r="G272" s="89"/>
      <c r="H272" s="95"/>
      <c r="I272" s="97"/>
      <c r="J272" s="90"/>
    </row>
    <row r="273" spans="1:10">
      <c r="A273" s="84"/>
      <c r="B273" s="93"/>
      <c r="C273" s="88"/>
      <c r="D273" s="107"/>
      <c r="E273" s="105"/>
      <c r="F273" s="105"/>
      <c r="G273" s="89"/>
      <c r="H273" s="95"/>
      <c r="I273" s="97"/>
      <c r="J273" s="90"/>
    </row>
    <row r="274" spans="1:10">
      <c r="A274" s="84"/>
      <c r="B274" s="93"/>
      <c r="C274" s="88"/>
      <c r="D274" s="107"/>
      <c r="E274" s="105"/>
      <c r="F274" s="105"/>
      <c r="G274" s="89"/>
      <c r="H274" s="95"/>
      <c r="I274" s="97"/>
      <c r="J274" s="90"/>
    </row>
    <row r="275" spans="1:10">
      <c r="A275" s="84"/>
      <c r="B275" s="93"/>
      <c r="C275" s="88"/>
      <c r="D275" s="107"/>
      <c r="E275" s="105"/>
      <c r="F275" s="105"/>
      <c r="G275" s="89"/>
      <c r="H275" s="95"/>
      <c r="I275" s="97"/>
      <c r="J275" s="90"/>
    </row>
    <row r="276" spans="1:10">
      <c r="A276" s="84"/>
      <c r="B276" s="93"/>
      <c r="C276" s="88"/>
      <c r="D276" s="107"/>
      <c r="E276" s="105"/>
      <c r="F276" s="105"/>
      <c r="G276" s="89"/>
      <c r="H276" s="95"/>
      <c r="I276" s="97"/>
      <c r="J276" s="90"/>
    </row>
    <row r="277" spans="1:10">
      <c r="A277" s="84"/>
      <c r="B277" s="93"/>
      <c r="C277" s="88"/>
      <c r="D277" s="107"/>
      <c r="E277" s="105"/>
      <c r="F277" s="105"/>
      <c r="G277" s="89"/>
      <c r="H277" s="95"/>
      <c r="I277" s="97"/>
      <c r="J277" s="90"/>
    </row>
    <row r="278" spans="1:10">
      <c r="A278" s="84"/>
      <c r="B278" s="93"/>
      <c r="C278" s="88"/>
      <c r="D278" s="107"/>
      <c r="E278" s="105"/>
      <c r="F278" s="105"/>
      <c r="G278" s="89"/>
      <c r="H278" s="95"/>
      <c r="I278" s="97"/>
      <c r="J278" s="90"/>
    </row>
    <row r="279" spans="1:10">
      <c r="A279" s="84"/>
      <c r="B279" s="93"/>
      <c r="C279" s="88"/>
      <c r="D279" s="107"/>
      <c r="E279" s="105"/>
      <c r="F279" s="105"/>
      <c r="G279" s="89"/>
      <c r="H279" s="95"/>
      <c r="I279" s="97"/>
      <c r="J279" s="90"/>
    </row>
    <row r="280" spans="1:10">
      <c r="A280" s="84"/>
      <c r="B280" s="93"/>
      <c r="C280" s="88"/>
      <c r="D280" s="107"/>
      <c r="E280" s="105"/>
      <c r="F280" s="105"/>
      <c r="G280" s="89"/>
      <c r="H280" s="95"/>
      <c r="I280" s="97"/>
      <c r="J280" s="90"/>
    </row>
    <row r="281" spans="1:10">
      <c r="A281" s="84"/>
      <c r="B281" s="93"/>
      <c r="C281" s="88"/>
      <c r="D281" s="107"/>
      <c r="E281" s="105"/>
      <c r="F281" s="105"/>
      <c r="G281" s="89"/>
      <c r="H281" s="95"/>
      <c r="I281" s="97"/>
      <c r="J281" s="90"/>
    </row>
    <row r="282" spans="1:10">
      <c r="A282" s="84"/>
      <c r="B282" s="93"/>
      <c r="C282" s="88"/>
      <c r="D282" s="107"/>
      <c r="E282" s="105"/>
      <c r="F282" s="105"/>
      <c r="G282" s="89"/>
      <c r="H282" s="95"/>
      <c r="I282" s="97"/>
      <c r="J282" s="90"/>
    </row>
    <row r="283" spans="1:10">
      <c r="A283" s="84"/>
      <c r="B283" s="93"/>
      <c r="C283" s="88"/>
      <c r="D283" s="107"/>
      <c r="E283" s="105"/>
      <c r="F283" s="105"/>
      <c r="G283" s="89"/>
      <c r="H283" s="95"/>
      <c r="I283" s="97"/>
      <c r="J283" s="90"/>
    </row>
    <row r="284" spans="1:10">
      <c r="A284" s="84"/>
      <c r="B284" s="93"/>
      <c r="C284" s="88"/>
      <c r="D284" s="107"/>
      <c r="E284" s="105"/>
      <c r="F284" s="105"/>
      <c r="G284" s="89"/>
      <c r="H284" s="95"/>
      <c r="I284" s="97"/>
      <c r="J284" s="90"/>
    </row>
    <row r="285" spans="1:10">
      <c r="A285" s="84"/>
      <c r="B285" s="93"/>
      <c r="C285" s="88"/>
      <c r="D285" s="107"/>
      <c r="E285" s="105"/>
      <c r="F285" s="105"/>
      <c r="G285" s="89"/>
      <c r="H285" s="95"/>
      <c r="I285" s="97"/>
      <c r="J285" s="90"/>
    </row>
    <row r="286" spans="1:10">
      <c r="A286" s="84"/>
      <c r="B286" s="93"/>
      <c r="C286" s="88"/>
      <c r="D286" s="107"/>
      <c r="E286" s="105"/>
      <c r="F286" s="105"/>
      <c r="G286" s="89"/>
      <c r="H286" s="95"/>
      <c r="I286" s="97"/>
      <c r="J286" s="90"/>
    </row>
    <row r="287" spans="1:10">
      <c r="A287" s="84"/>
      <c r="B287" s="93"/>
      <c r="C287" s="88"/>
      <c r="D287" s="107"/>
      <c r="E287" s="105"/>
      <c r="F287" s="105"/>
      <c r="G287" s="89"/>
      <c r="H287" s="95"/>
      <c r="I287" s="97"/>
      <c r="J287" s="90"/>
    </row>
    <row r="288" spans="1:10">
      <c r="A288" s="84"/>
      <c r="B288" s="93"/>
      <c r="C288" s="88"/>
      <c r="D288" s="107"/>
      <c r="E288" s="105"/>
      <c r="F288" s="105"/>
      <c r="G288" s="89"/>
      <c r="H288" s="95"/>
      <c r="I288" s="97"/>
      <c r="J288" s="90"/>
    </row>
    <row r="289" spans="1:10">
      <c r="A289" s="84"/>
      <c r="B289" s="93"/>
      <c r="C289" s="88"/>
      <c r="D289" s="107"/>
      <c r="E289" s="105"/>
      <c r="F289" s="105"/>
      <c r="G289" s="89"/>
      <c r="H289" s="95"/>
      <c r="I289" s="97"/>
      <c r="J289" s="90"/>
    </row>
    <row r="290" spans="1:10">
      <c r="A290" s="84"/>
      <c r="B290" s="93"/>
      <c r="C290" s="88"/>
      <c r="D290" s="107"/>
      <c r="E290" s="105"/>
      <c r="F290" s="105"/>
      <c r="G290" s="89"/>
      <c r="H290" s="95"/>
      <c r="I290" s="97"/>
      <c r="J290" s="90"/>
    </row>
    <row r="291" spans="1:10">
      <c r="A291" s="84"/>
      <c r="B291" s="93"/>
      <c r="C291" s="88"/>
      <c r="D291" s="107"/>
      <c r="E291" s="105"/>
      <c r="F291" s="105"/>
      <c r="G291" s="89"/>
      <c r="H291" s="95"/>
      <c r="I291" s="97"/>
      <c r="J291" s="90"/>
    </row>
    <row r="292" spans="1:10">
      <c r="A292" s="84"/>
      <c r="B292" s="93"/>
      <c r="C292" s="88"/>
      <c r="D292" s="107"/>
      <c r="E292" s="105"/>
      <c r="F292" s="105"/>
      <c r="G292" s="89"/>
      <c r="H292" s="95"/>
      <c r="I292" s="97"/>
      <c r="J292" s="90"/>
    </row>
    <row r="293" spans="1:10">
      <c r="A293" s="84"/>
      <c r="B293" s="93"/>
      <c r="C293" s="88"/>
      <c r="D293" s="107"/>
      <c r="E293" s="105"/>
      <c r="F293" s="105"/>
      <c r="G293" s="89"/>
      <c r="H293" s="95"/>
      <c r="I293" s="97"/>
      <c r="J293" s="90"/>
    </row>
    <row r="294" spans="1:10">
      <c r="A294" s="84"/>
      <c r="B294" s="93"/>
      <c r="C294" s="88"/>
      <c r="D294" s="107"/>
      <c r="E294" s="105"/>
      <c r="F294" s="105"/>
      <c r="G294" s="89"/>
      <c r="H294" s="95"/>
      <c r="I294" s="97"/>
      <c r="J294" s="90"/>
    </row>
    <row r="295" spans="1:10">
      <c r="A295" s="84"/>
      <c r="B295" s="93"/>
      <c r="C295" s="88"/>
      <c r="D295" s="107"/>
      <c r="E295" s="105"/>
      <c r="F295" s="105"/>
      <c r="G295" s="89"/>
      <c r="H295" s="95"/>
      <c r="I295" s="97"/>
      <c r="J295" s="90"/>
    </row>
    <row r="296" spans="1:10">
      <c r="A296" s="84"/>
      <c r="B296" s="93"/>
      <c r="C296" s="88"/>
      <c r="D296" s="107"/>
      <c r="E296" s="105"/>
      <c r="F296" s="105"/>
      <c r="G296" s="89"/>
      <c r="H296" s="95"/>
      <c r="I296" s="97"/>
      <c r="J296" s="90"/>
    </row>
    <row r="297" spans="1:10">
      <c r="A297" s="84"/>
      <c r="B297" s="93"/>
      <c r="C297" s="88"/>
      <c r="D297" s="107"/>
      <c r="E297" s="105"/>
      <c r="F297" s="105"/>
      <c r="G297" s="89"/>
      <c r="H297" s="95"/>
      <c r="I297" s="97"/>
      <c r="J297" s="90"/>
    </row>
    <row r="298" spans="1:10">
      <c r="A298" s="84"/>
      <c r="B298" s="93"/>
      <c r="C298" s="88"/>
      <c r="D298" s="107"/>
      <c r="E298" s="105"/>
      <c r="F298" s="105"/>
      <c r="G298" s="89"/>
      <c r="H298" s="95"/>
      <c r="I298" s="97"/>
      <c r="J298" s="90"/>
    </row>
    <row r="299" spans="1:10">
      <c r="A299" s="84"/>
      <c r="B299" s="93"/>
      <c r="C299" s="88"/>
      <c r="D299" s="107"/>
      <c r="E299" s="105"/>
      <c r="F299" s="105"/>
      <c r="G299" s="89"/>
      <c r="H299" s="95"/>
      <c r="I299" s="97"/>
      <c r="J299" s="90"/>
    </row>
    <row r="300" spans="1:10">
      <c r="A300" s="84"/>
      <c r="B300" s="93"/>
      <c r="C300" s="88"/>
      <c r="D300" s="107"/>
      <c r="E300" s="105"/>
      <c r="F300" s="105"/>
      <c r="G300" s="89"/>
      <c r="H300" s="95"/>
      <c r="I300" s="97"/>
      <c r="J300" s="90"/>
    </row>
    <row r="301" spans="1:10">
      <c r="A301" s="84"/>
      <c r="B301" s="93"/>
      <c r="C301" s="88"/>
      <c r="D301" s="107"/>
      <c r="E301" s="105"/>
      <c r="F301" s="105"/>
      <c r="G301" s="89"/>
      <c r="H301" s="95"/>
      <c r="I301" s="97"/>
      <c r="J301" s="90"/>
    </row>
    <row r="302" spans="1:10">
      <c r="A302" s="84"/>
      <c r="B302" s="93"/>
      <c r="C302" s="88"/>
      <c r="D302" s="107"/>
      <c r="E302" s="105"/>
      <c r="F302" s="105"/>
      <c r="G302" s="89"/>
      <c r="H302" s="95"/>
      <c r="I302" s="97"/>
      <c r="J302" s="90"/>
    </row>
    <row r="303" spans="1:10">
      <c r="A303" s="84"/>
      <c r="B303" s="93"/>
      <c r="C303" s="88"/>
      <c r="D303" s="107"/>
      <c r="E303" s="105"/>
      <c r="F303" s="105"/>
      <c r="G303" s="89"/>
      <c r="H303" s="95"/>
      <c r="I303" s="97"/>
      <c r="J303" s="90"/>
    </row>
    <row r="304" spans="1:10">
      <c r="A304" s="84"/>
      <c r="B304" s="93"/>
      <c r="C304" s="88"/>
      <c r="D304" s="107"/>
      <c r="E304" s="105"/>
      <c r="F304" s="105"/>
      <c r="G304" s="89"/>
      <c r="H304" s="95"/>
      <c r="I304" s="97"/>
      <c r="J304" s="90"/>
    </row>
    <row r="305" spans="1:10">
      <c r="A305" s="84"/>
      <c r="B305" s="93"/>
      <c r="C305" s="88"/>
      <c r="D305" s="107"/>
      <c r="E305" s="105"/>
      <c r="F305" s="105"/>
      <c r="G305" s="89"/>
      <c r="H305" s="95"/>
      <c r="I305" s="97"/>
      <c r="J305" s="90"/>
    </row>
    <row r="306" spans="1:10">
      <c r="A306" s="84"/>
      <c r="B306" s="93"/>
      <c r="C306" s="88"/>
      <c r="D306" s="107"/>
      <c r="E306" s="105"/>
      <c r="F306" s="105"/>
      <c r="G306" s="89"/>
      <c r="H306" s="95"/>
      <c r="I306" s="97"/>
      <c r="J306" s="90"/>
    </row>
    <row r="307" spans="1:10">
      <c r="A307" s="84"/>
      <c r="B307" s="93"/>
      <c r="C307" s="88"/>
      <c r="D307" s="107"/>
      <c r="E307" s="105"/>
      <c r="F307" s="105"/>
      <c r="G307" s="89"/>
      <c r="H307" s="95"/>
      <c r="I307" s="97"/>
      <c r="J307" s="90"/>
    </row>
    <row r="308" spans="1:10">
      <c r="A308" s="84"/>
      <c r="B308" s="93"/>
      <c r="C308" s="88"/>
      <c r="D308" s="107"/>
      <c r="E308" s="105"/>
      <c r="F308" s="105"/>
      <c r="G308" s="89"/>
      <c r="H308" s="95"/>
      <c r="I308" s="97"/>
      <c r="J308" s="90"/>
    </row>
    <row r="309" spans="1:10">
      <c r="A309" s="84"/>
      <c r="B309" s="93"/>
      <c r="C309" s="88"/>
      <c r="D309" s="107"/>
      <c r="E309" s="105"/>
      <c r="F309" s="105"/>
      <c r="G309" s="89"/>
      <c r="H309" s="95"/>
      <c r="I309" s="97"/>
      <c r="J309" s="90"/>
    </row>
    <row r="310" spans="1:10">
      <c r="A310" s="84"/>
      <c r="B310" s="93"/>
      <c r="C310" s="88"/>
      <c r="D310" s="107"/>
      <c r="E310" s="105"/>
      <c r="F310" s="105"/>
      <c r="G310" s="89"/>
      <c r="H310" s="95"/>
      <c r="I310" s="97"/>
      <c r="J310" s="90"/>
    </row>
    <row r="311" spans="1:10">
      <c r="A311" s="84"/>
      <c r="B311" s="93"/>
      <c r="C311" s="88"/>
      <c r="D311" s="107"/>
      <c r="E311" s="105"/>
      <c r="F311" s="105"/>
      <c r="G311" s="89"/>
      <c r="H311" s="95"/>
      <c r="I311" s="97"/>
      <c r="J311" s="90"/>
    </row>
    <row r="312" spans="1:10">
      <c r="A312" s="84"/>
      <c r="B312" s="93"/>
      <c r="C312" s="88"/>
      <c r="D312" s="107"/>
      <c r="E312" s="105"/>
      <c r="F312" s="105"/>
      <c r="G312" s="89"/>
      <c r="H312" s="95"/>
      <c r="I312" s="97"/>
      <c r="J312" s="90"/>
    </row>
    <row r="313" spans="1:10">
      <c r="A313" s="84"/>
      <c r="B313" s="93"/>
      <c r="C313" s="88"/>
      <c r="D313" s="107"/>
      <c r="E313" s="105"/>
      <c r="F313" s="105"/>
      <c r="G313" s="89"/>
      <c r="H313" s="95"/>
      <c r="I313" s="97"/>
      <c r="J313" s="90"/>
    </row>
    <row r="314" spans="1:10">
      <c r="A314" s="84"/>
      <c r="B314" s="93"/>
      <c r="C314" s="88"/>
      <c r="D314" s="107"/>
      <c r="E314" s="105"/>
      <c r="F314" s="105"/>
      <c r="G314" s="89"/>
      <c r="H314" s="95"/>
      <c r="I314" s="97"/>
      <c r="J314" s="90"/>
    </row>
    <row r="315" spans="1:10">
      <c r="A315" s="84"/>
      <c r="B315" s="93"/>
      <c r="C315" s="88"/>
      <c r="D315" s="107"/>
      <c r="E315" s="105"/>
      <c r="F315" s="105"/>
      <c r="G315" s="89"/>
      <c r="H315" s="95"/>
      <c r="I315" s="97"/>
      <c r="J315" s="90"/>
    </row>
    <row r="316" spans="1:10">
      <c r="A316" s="84"/>
      <c r="B316" s="93"/>
      <c r="C316" s="88"/>
      <c r="D316" s="107"/>
      <c r="E316" s="105"/>
      <c r="F316" s="105"/>
      <c r="G316" s="89"/>
      <c r="H316" s="95"/>
      <c r="I316" s="97"/>
      <c r="J316" s="90"/>
    </row>
    <row r="317" spans="1:10">
      <c r="A317" s="84"/>
      <c r="B317" s="93"/>
      <c r="C317" s="88"/>
      <c r="D317" s="107"/>
      <c r="E317" s="105"/>
      <c r="F317" s="105"/>
      <c r="G317" s="89"/>
      <c r="H317" s="95"/>
      <c r="I317" s="97"/>
      <c r="J317" s="90"/>
    </row>
    <row r="318" spans="1:10">
      <c r="A318" s="84"/>
      <c r="B318" s="93"/>
      <c r="C318" s="88"/>
      <c r="D318" s="107"/>
      <c r="E318" s="105"/>
      <c r="F318" s="105"/>
      <c r="G318" s="89"/>
      <c r="H318" s="95"/>
      <c r="I318" s="97"/>
      <c r="J318" s="90"/>
    </row>
    <row r="319" spans="1:10">
      <c r="A319" s="84"/>
      <c r="B319" s="93"/>
      <c r="C319" s="88"/>
      <c r="D319" s="107"/>
      <c r="E319" s="105"/>
      <c r="F319" s="105"/>
      <c r="G319" s="89"/>
      <c r="H319" s="95"/>
      <c r="I319" s="97"/>
      <c r="J319" s="90"/>
    </row>
    <row r="320" spans="1:10">
      <c r="A320" s="84"/>
      <c r="B320" s="93"/>
      <c r="C320" s="88"/>
      <c r="D320" s="107"/>
      <c r="E320" s="105"/>
      <c r="F320" s="105"/>
      <c r="G320" s="89"/>
      <c r="H320" s="95"/>
      <c r="I320" s="97"/>
      <c r="J320" s="90"/>
    </row>
    <row r="321" spans="1:10">
      <c r="A321" s="84"/>
      <c r="B321" s="93"/>
      <c r="C321" s="88"/>
      <c r="D321" s="107"/>
      <c r="E321" s="105"/>
      <c r="F321" s="105"/>
      <c r="G321" s="89"/>
      <c r="H321" s="95"/>
      <c r="I321" s="97"/>
      <c r="J321" s="90"/>
    </row>
    <row r="322" spans="1:10">
      <c r="A322" s="84"/>
      <c r="B322" s="93"/>
      <c r="C322" s="88"/>
      <c r="D322" s="107"/>
      <c r="E322" s="105"/>
      <c r="F322" s="105"/>
      <c r="G322" s="89"/>
      <c r="H322" s="95"/>
      <c r="I322" s="97"/>
      <c r="J322" s="90"/>
    </row>
    <row r="323" spans="1:10">
      <c r="A323" s="84"/>
      <c r="B323" s="93"/>
      <c r="C323" s="88"/>
      <c r="D323" s="107"/>
      <c r="E323" s="105"/>
      <c r="F323" s="105"/>
      <c r="G323" s="89"/>
      <c r="H323" s="95"/>
      <c r="I323" s="97"/>
      <c r="J323" s="90"/>
    </row>
    <row r="324" spans="1:10">
      <c r="A324" s="84"/>
      <c r="B324" s="93"/>
      <c r="C324" s="88"/>
      <c r="D324" s="107"/>
      <c r="E324" s="105"/>
      <c r="F324" s="105"/>
      <c r="G324" s="89"/>
      <c r="H324" s="95"/>
      <c r="I324" s="97"/>
      <c r="J324" s="90"/>
    </row>
    <row r="325" spans="1:10">
      <c r="A325" s="84"/>
      <c r="B325" s="93"/>
      <c r="C325" s="88"/>
      <c r="D325" s="107"/>
      <c r="E325" s="105"/>
      <c r="F325" s="105"/>
      <c r="G325" s="89"/>
      <c r="H325" s="95"/>
      <c r="I325" s="97"/>
      <c r="J325" s="90"/>
    </row>
    <row r="326" spans="1:10">
      <c r="A326" s="84"/>
      <c r="B326" s="93"/>
      <c r="C326" s="88"/>
      <c r="D326" s="107"/>
      <c r="E326" s="105"/>
      <c r="F326" s="105"/>
      <c r="G326" s="89"/>
      <c r="H326" s="95"/>
      <c r="I326" s="97"/>
      <c r="J326" s="90"/>
    </row>
    <row r="327" spans="1:10">
      <c r="A327" s="84"/>
      <c r="B327" s="93"/>
      <c r="C327" s="88"/>
      <c r="D327" s="107"/>
      <c r="E327" s="105"/>
      <c r="F327" s="105"/>
      <c r="G327" s="89"/>
      <c r="H327" s="95"/>
      <c r="I327" s="97"/>
      <c r="J327" s="90"/>
    </row>
    <row r="328" spans="1:10">
      <c r="A328" s="84"/>
      <c r="B328" s="93"/>
      <c r="C328" s="88"/>
      <c r="D328" s="107"/>
      <c r="E328" s="105"/>
      <c r="F328" s="105"/>
      <c r="G328" s="89"/>
      <c r="H328" s="95"/>
      <c r="I328" s="97"/>
      <c r="J328" s="90"/>
    </row>
    <row r="329" spans="1:10">
      <c r="A329" s="84"/>
      <c r="B329" s="93"/>
      <c r="C329" s="88"/>
      <c r="D329" s="107"/>
      <c r="E329" s="105"/>
      <c r="F329" s="105"/>
      <c r="G329" s="89"/>
      <c r="H329" s="95"/>
      <c r="I329" s="97"/>
      <c r="J329" s="90"/>
    </row>
    <row r="330" spans="1:10">
      <c r="A330" s="84"/>
      <c r="B330" s="93"/>
      <c r="C330" s="88"/>
      <c r="D330" s="107"/>
      <c r="E330" s="105"/>
      <c r="F330" s="105"/>
      <c r="G330" s="89"/>
      <c r="H330" s="95"/>
      <c r="I330" s="97"/>
      <c r="J330" s="90"/>
    </row>
    <row r="331" spans="1:10">
      <c r="A331" s="84"/>
      <c r="B331" s="93"/>
      <c r="C331" s="88"/>
      <c r="D331" s="107"/>
      <c r="E331" s="105"/>
      <c r="F331" s="105"/>
      <c r="G331" s="89"/>
      <c r="H331" s="95"/>
      <c r="I331" s="97"/>
      <c r="J331" s="90"/>
    </row>
    <row r="332" spans="1:10">
      <c r="A332" s="84"/>
      <c r="B332" s="93"/>
      <c r="C332" s="88"/>
      <c r="D332" s="107"/>
      <c r="E332" s="105"/>
      <c r="F332" s="105"/>
      <c r="G332" s="89"/>
      <c r="H332" s="95"/>
      <c r="I332" s="97"/>
      <c r="J332" s="90"/>
    </row>
    <row r="333" spans="1:10">
      <c r="A333" s="84"/>
      <c r="B333" s="93"/>
      <c r="C333" s="88"/>
      <c r="D333" s="107"/>
      <c r="E333" s="105"/>
      <c r="F333" s="105"/>
      <c r="G333" s="89"/>
      <c r="H333" s="95"/>
      <c r="I333" s="97"/>
      <c r="J333" s="90"/>
    </row>
    <row r="334" spans="1:10">
      <c r="A334" s="84"/>
      <c r="B334" s="93"/>
      <c r="C334" s="88"/>
      <c r="D334" s="107"/>
      <c r="E334" s="105"/>
      <c r="F334" s="105"/>
      <c r="G334" s="89"/>
      <c r="H334" s="95"/>
      <c r="I334" s="97"/>
      <c r="J334" s="90"/>
    </row>
    <row r="335" spans="1:10">
      <c r="A335" s="84"/>
      <c r="B335" s="93"/>
      <c r="C335" s="88"/>
      <c r="D335" s="107"/>
      <c r="E335" s="105"/>
      <c r="F335" s="105"/>
      <c r="G335" s="89"/>
      <c r="H335" s="95"/>
      <c r="I335" s="97"/>
      <c r="J335" s="90"/>
    </row>
    <row r="336" spans="1:10">
      <c r="A336" s="84"/>
      <c r="B336" s="93"/>
      <c r="C336" s="88"/>
      <c r="D336" s="107"/>
      <c r="E336" s="105"/>
      <c r="F336" s="105"/>
      <c r="G336" s="89"/>
      <c r="H336" s="95"/>
      <c r="I336" s="97"/>
      <c r="J336" s="90"/>
    </row>
    <row r="337" spans="1:10">
      <c r="A337" s="84"/>
      <c r="B337" s="93"/>
      <c r="C337" s="88"/>
      <c r="D337" s="107"/>
      <c r="E337" s="105"/>
      <c r="F337" s="105"/>
      <c r="G337" s="89"/>
      <c r="H337" s="95"/>
      <c r="I337" s="97"/>
      <c r="J337" s="90"/>
    </row>
    <row r="338" spans="1:10">
      <c r="A338" s="84"/>
      <c r="B338" s="93"/>
      <c r="C338" s="88"/>
      <c r="D338" s="107"/>
      <c r="E338" s="105"/>
      <c r="F338" s="105"/>
      <c r="G338" s="89"/>
      <c r="H338" s="95"/>
      <c r="I338" s="97"/>
      <c r="J338" s="90"/>
    </row>
    <row r="339" spans="1:10">
      <c r="A339" s="84"/>
      <c r="B339" s="93"/>
      <c r="C339" s="88"/>
      <c r="D339" s="107"/>
      <c r="E339" s="105"/>
      <c r="F339" s="105"/>
      <c r="G339" s="89"/>
      <c r="H339" s="95"/>
      <c r="I339" s="97"/>
      <c r="J339" s="90"/>
    </row>
    <row r="340" spans="1:10">
      <c r="A340" s="84"/>
      <c r="B340" s="93"/>
      <c r="C340" s="88"/>
      <c r="D340" s="107"/>
      <c r="E340" s="105"/>
      <c r="F340" s="105"/>
      <c r="G340" s="89"/>
      <c r="H340" s="95"/>
      <c r="I340" s="97"/>
      <c r="J340" s="90"/>
    </row>
    <row r="341" spans="1:10">
      <c r="A341" s="84"/>
      <c r="B341" s="93"/>
      <c r="C341" s="88"/>
      <c r="D341" s="107"/>
      <c r="E341" s="105"/>
      <c r="F341" s="105"/>
      <c r="G341" s="89"/>
      <c r="H341" s="95"/>
      <c r="I341" s="97"/>
      <c r="J341" s="90"/>
    </row>
    <row r="342" spans="1:10">
      <c r="A342" s="84"/>
      <c r="B342" s="93"/>
      <c r="C342" s="88"/>
      <c r="D342" s="107"/>
      <c r="E342" s="105"/>
      <c r="F342" s="105"/>
      <c r="G342" s="89"/>
      <c r="H342" s="95"/>
      <c r="I342" s="97"/>
      <c r="J342" s="90"/>
    </row>
    <row r="343" spans="1:10">
      <c r="A343" s="84"/>
      <c r="B343" s="93"/>
      <c r="C343" s="88"/>
      <c r="D343" s="107"/>
      <c r="E343" s="105"/>
      <c r="F343" s="105"/>
      <c r="G343" s="89"/>
      <c r="H343" s="95"/>
      <c r="I343" s="97"/>
      <c r="J343" s="90"/>
    </row>
    <row r="344" spans="1:10">
      <c r="A344" s="84"/>
      <c r="B344" s="93"/>
      <c r="C344" s="88"/>
      <c r="D344" s="107"/>
      <c r="E344" s="105"/>
      <c r="F344" s="105"/>
      <c r="G344" s="89"/>
      <c r="H344" s="95"/>
      <c r="I344" s="97"/>
      <c r="J344" s="90"/>
    </row>
    <row r="345" spans="1:10">
      <c r="A345" s="84"/>
      <c r="B345" s="93"/>
      <c r="C345" s="88"/>
      <c r="D345" s="107"/>
      <c r="E345" s="105"/>
      <c r="F345" s="105"/>
      <c r="G345" s="89"/>
      <c r="H345" s="95"/>
      <c r="I345" s="97"/>
      <c r="J345" s="90"/>
    </row>
    <row r="346" spans="1:10">
      <c r="A346" s="84"/>
      <c r="B346" s="93"/>
      <c r="C346" s="88"/>
      <c r="D346" s="107"/>
      <c r="E346" s="105"/>
      <c r="F346" s="105"/>
      <c r="G346" s="89"/>
      <c r="H346" s="95"/>
      <c r="I346" s="97"/>
      <c r="J346" s="90"/>
    </row>
    <row r="347" spans="1:10">
      <c r="A347" s="84"/>
      <c r="B347" s="93"/>
      <c r="C347" s="88"/>
      <c r="D347" s="107"/>
      <c r="E347" s="105"/>
      <c r="F347" s="105"/>
      <c r="G347" s="89"/>
      <c r="H347" s="95"/>
      <c r="I347" s="97"/>
      <c r="J347" s="90"/>
    </row>
    <row r="348" spans="1:10">
      <c r="A348" s="84"/>
      <c r="B348" s="93"/>
      <c r="C348" s="88"/>
      <c r="D348" s="107"/>
      <c r="E348" s="105"/>
      <c r="F348" s="105"/>
      <c r="G348" s="89"/>
      <c r="H348" s="95"/>
      <c r="I348" s="97"/>
      <c r="J348" s="90"/>
    </row>
    <row r="349" spans="1:10">
      <c r="A349" s="84"/>
      <c r="B349" s="93"/>
      <c r="C349" s="88"/>
      <c r="D349" s="107"/>
      <c r="E349" s="105"/>
      <c r="F349" s="105"/>
      <c r="G349" s="89"/>
      <c r="H349" s="95"/>
      <c r="I349" s="97"/>
      <c r="J349" s="90"/>
    </row>
    <row r="350" spans="1:10">
      <c r="A350" s="84"/>
      <c r="B350" s="93"/>
      <c r="C350" s="88"/>
      <c r="D350" s="107"/>
      <c r="E350" s="105"/>
      <c r="F350" s="105"/>
      <c r="G350" s="89"/>
      <c r="H350" s="95"/>
      <c r="I350" s="97"/>
      <c r="J350" s="90"/>
    </row>
    <row r="351" spans="1:10">
      <c r="A351" s="84"/>
      <c r="B351" s="93"/>
      <c r="C351" s="88"/>
      <c r="D351" s="107"/>
      <c r="E351" s="105"/>
      <c r="F351" s="105"/>
      <c r="G351" s="89"/>
      <c r="H351" s="95"/>
      <c r="I351" s="97"/>
      <c r="J351" s="90"/>
    </row>
    <row r="352" spans="1:10">
      <c r="A352" s="84"/>
      <c r="B352" s="93"/>
      <c r="C352" s="88"/>
      <c r="D352" s="107"/>
      <c r="E352" s="105"/>
      <c r="F352" s="105"/>
      <c r="G352" s="89"/>
      <c r="H352" s="95"/>
      <c r="I352" s="97"/>
      <c r="J352" s="90"/>
    </row>
    <row r="353" spans="1:10">
      <c r="A353" s="84"/>
      <c r="B353" s="93"/>
      <c r="C353" s="88"/>
      <c r="D353" s="107"/>
      <c r="E353" s="105"/>
      <c r="F353" s="105"/>
      <c r="G353" s="89"/>
      <c r="H353" s="95"/>
      <c r="I353" s="97"/>
      <c r="J353" s="90"/>
    </row>
    <row r="354" spans="1:10">
      <c r="A354" s="84"/>
      <c r="B354" s="93"/>
      <c r="C354" s="88"/>
      <c r="D354" s="107"/>
      <c r="E354" s="105"/>
      <c r="F354" s="105"/>
      <c r="G354" s="89"/>
      <c r="H354" s="95"/>
      <c r="I354" s="97"/>
      <c r="J354" s="90"/>
    </row>
    <row r="355" spans="1:10">
      <c r="A355" s="84"/>
      <c r="B355" s="93"/>
      <c r="C355" s="88"/>
      <c r="D355" s="107"/>
      <c r="E355" s="105"/>
      <c r="F355" s="105"/>
      <c r="G355" s="89"/>
      <c r="H355" s="95"/>
      <c r="I355" s="97"/>
      <c r="J355" s="90"/>
    </row>
    <row r="356" spans="1:10">
      <c r="A356" s="84"/>
      <c r="B356" s="93"/>
      <c r="C356" s="88"/>
      <c r="D356" s="107"/>
      <c r="E356" s="105"/>
      <c r="F356" s="105"/>
      <c r="G356" s="89"/>
      <c r="H356" s="95"/>
      <c r="I356" s="97"/>
      <c r="J356" s="90"/>
    </row>
    <row r="357" spans="1:10">
      <c r="A357" s="84"/>
      <c r="B357" s="93"/>
      <c r="C357" s="88"/>
      <c r="D357" s="107"/>
      <c r="E357" s="105"/>
      <c r="F357" s="105"/>
      <c r="G357" s="89"/>
      <c r="H357" s="95"/>
      <c r="I357" s="97"/>
      <c r="J357" s="90"/>
    </row>
    <row r="358" spans="1:10">
      <c r="A358" s="84"/>
      <c r="B358" s="93"/>
      <c r="C358" s="88"/>
      <c r="D358" s="107"/>
      <c r="E358" s="105"/>
      <c r="F358" s="105"/>
      <c r="G358" s="89"/>
      <c r="H358" s="95"/>
      <c r="I358" s="97"/>
      <c r="J358" s="90"/>
    </row>
    <row r="359" spans="1:10">
      <c r="A359" s="84"/>
      <c r="B359" s="93"/>
      <c r="C359" s="88"/>
      <c r="D359" s="107"/>
      <c r="E359" s="105"/>
      <c r="F359" s="105"/>
      <c r="G359" s="89"/>
      <c r="H359" s="95"/>
      <c r="I359" s="97"/>
      <c r="J359" s="90"/>
    </row>
    <row r="360" spans="1:10">
      <c r="A360" s="84"/>
      <c r="B360" s="93"/>
      <c r="C360" s="88"/>
      <c r="D360" s="107"/>
      <c r="E360" s="105"/>
      <c r="F360" s="105"/>
      <c r="G360" s="89"/>
      <c r="H360" s="95"/>
      <c r="I360" s="97"/>
      <c r="J360" s="90"/>
    </row>
    <row r="361" spans="1:10">
      <c r="A361" s="84"/>
      <c r="B361" s="93"/>
      <c r="C361" s="88"/>
      <c r="D361" s="107"/>
      <c r="E361" s="105"/>
      <c r="F361" s="105"/>
      <c r="G361" s="89"/>
      <c r="H361" s="95"/>
      <c r="I361" s="97"/>
      <c r="J361" s="90"/>
    </row>
    <row r="362" spans="1:10">
      <c r="A362" s="84"/>
      <c r="B362" s="93"/>
      <c r="C362" s="88"/>
      <c r="D362" s="107"/>
      <c r="E362" s="105"/>
      <c r="F362" s="105"/>
      <c r="G362" s="89"/>
      <c r="H362" s="95"/>
      <c r="I362" s="97"/>
      <c r="J362" s="90"/>
    </row>
    <row r="363" spans="1:10">
      <c r="A363" s="84"/>
      <c r="B363" s="93"/>
      <c r="C363" s="88"/>
      <c r="D363" s="107"/>
      <c r="E363" s="105"/>
      <c r="F363" s="105"/>
      <c r="G363" s="89"/>
      <c r="H363" s="95"/>
      <c r="I363" s="97"/>
      <c r="J363" s="90"/>
    </row>
    <row r="364" spans="1:10">
      <c r="A364" s="84"/>
      <c r="B364" s="93"/>
      <c r="C364" s="88"/>
      <c r="D364" s="107"/>
      <c r="E364" s="105"/>
      <c r="F364" s="105"/>
      <c r="G364" s="89"/>
      <c r="H364" s="95"/>
      <c r="I364" s="97"/>
      <c r="J364" s="90"/>
    </row>
    <row r="365" spans="1:10">
      <c r="A365" s="84"/>
      <c r="B365" s="93"/>
      <c r="C365" s="88"/>
      <c r="D365" s="107"/>
      <c r="E365" s="105"/>
      <c r="F365" s="105"/>
      <c r="G365" s="89"/>
      <c r="H365" s="95"/>
      <c r="I365" s="97"/>
      <c r="J365" s="90"/>
    </row>
    <row r="366" spans="1:10">
      <c r="A366" s="84"/>
      <c r="B366" s="93"/>
      <c r="C366" s="88"/>
      <c r="D366" s="107"/>
      <c r="E366" s="105"/>
      <c r="F366" s="105"/>
      <c r="G366" s="89"/>
      <c r="H366" s="95"/>
      <c r="I366" s="97"/>
      <c r="J366" s="90"/>
    </row>
    <row r="367" spans="1:10">
      <c r="A367" s="84"/>
      <c r="B367" s="93"/>
      <c r="C367" s="88"/>
      <c r="D367" s="107"/>
      <c r="E367" s="105"/>
      <c r="F367" s="105"/>
      <c r="G367" s="89"/>
      <c r="H367" s="95"/>
      <c r="I367" s="97"/>
      <c r="J367" s="90"/>
    </row>
    <row r="368" spans="1:10">
      <c r="A368" s="84"/>
      <c r="B368" s="93"/>
      <c r="C368" s="88"/>
      <c r="D368" s="107"/>
      <c r="E368" s="105"/>
      <c r="F368" s="105"/>
      <c r="G368" s="89"/>
      <c r="H368" s="95"/>
      <c r="I368" s="97"/>
      <c r="J368" s="90"/>
    </row>
    <row r="369" spans="1:10">
      <c r="A369" s="84"/>
      <c r="B369" s="93"/>
      <c r="C369" s="88"/>
      <c r="D369" s="107"/>
      <c r="E369" s="105"/>
      <c r="F369" s="105"/>
      <c r="G369" s="89"/>
      <c r="H369" s="95"/>
      <c r="I369" s="97"/>
      <c r="J369" s="90"/>
    </row>
    <row r="370" spans="1:10">
      <c r="A370" s="84"/>
      <c r="B370" s="93"/>
      <c r="C370" s="88"/>
      <c r="D370" s="107"/>
      <c r="E370" s="105"/>
      <c r="F370" s="105"/>
      <c r="G370" s="89"/>
      <c r="H370" s="95"/>
      <c r="I370" s="97"/>
      <c r="J370" s="90"/>
    </row>
    <row r="371" spans="1:10">
      <c r="A371" s="84"/>
      <c r="B371" s="93"/>
      <c r="C371" s="88"/>
      <c r="D371" s="107"/>
      <c r="E371" s="105"/>
      <c r="F371" s="105"/>
      <c r="G371" s="89"/>
      <c r="H371" s="95"/>
      <c r="I371" s="97"/>
      <c r="J371" s="90"/>
    </row>
    <row r="372" spans="1:10">
      <c r="A372" s="84"/>
      <c r="B372" s="93"/>
      <c r="C372" s="88"/>
      <c r="D372" s="107"/>
      <c r="E372" s="105"/>
      <c r="F372" s="105"/>
      <c r="G372" s="89"/>
      <c r="H372" s="95"/>
      <c r="I372" s="97"/>
      <c r="J372" s="90"/>
    </row>
    <row r="373" spans="1:10">
      <c r="A373" s="84"/>
      <c r="B373" s="93"/>
      <c r="C373" s="88"/>
      <c r="D373" s="107"/>
      <c r="E373" s="105"/>
      <c r="F373" s="105"/>
      <c r="G373" s="89"/>
      <c r="H373" s="95"/>
      <c r="I373" s="97"/>
      <c r="J373" s="90"/>
    </row>
    <row r="374" spans="1:10">
      <c r="A374" s="84"/>
      <c r="B374" s="93"/>
      <c r="C374" s="88"/>
      <c r="D374" s="107"/>
      <c r="E374" s="105"/>
      <c r="F374" s="105"/>
      <c r="G374" s="89"/>
      <c r="H374" s="95"/>
      <c r="I374" s="97"/>
      <c r="J374" s="90"/>
    </row>
    <row r="375" spans="1:10">
      <c r="A375" s="84"/>
      <c r="B375" s="93"/>
      <c r="C375" s="88"/>
      <c r="D375" s="107"/>
      <c r="E375" s="105"/>
      <c r="F375" s="105"/>
      <c r="G375" s="89"/>
      <c r="H375" s="95"/>
      <c r="I375" s="97"/>
      <c r="J375" s="90"/>
    </row>
    <row r="376" spans="1:10">
      <c r="A376" s="84"/>
      <c r="B376" s="93"/>
      <c r="C376" s="88"/>
      <c r="D376" s="107"/>
      <c r="E376" s="105"/>
      <c r="F376" s="105"/>
      <c r="G376" s="89"/>
      <c r="H376" s="95"/>
      <c r="I376" s="97"/>
      <c r="J376" s="90"/>
    </row>
    <row r="377" spans="1:10">
      <c r="A377" s="84"/>
      <c r="B377" s="93"/>
      <c r="C377" s="88"/>
      <c r="D377" s="107"/>
      <c r="E377" s="105"/>
      <c r="F377" s="105"/>
      <c r="G377" s="89"/>
      <c r="H377" s="95"/>
      <c r="I377" s="97"/>
      <c r="J377" s="90"/>
    </row>
    <row r="378" spans="1:10">
      <c r="A378" s="84"/>
      <c r="B378" s="93"/>
      <c r="C378" s="88"/>
      <c r="D378" s="107"/>
      <c r="E378" s="105"/>
      <c r="F378" s="105"/>
      <c r="G378" s="89"/>
      <c r="H378" s="95"/>
      <c r="I378" s="97"/>
      <c r="J378" s="90"/>
    </row>
    <row r="379" spans="1:10">
      <c r="A379" s="84"/>
      <c r="B379" s="93"/>
      <c r="C379" s="88"/>
      <c r="D379" s="107"/>
      <c r="E379" s="105"/>
      <c r="F379" s="105"/>
      <c r="G379" s="89"/>
      <c r="H379" s="95"/>
      <c r="I379" s="97"/>
      <c r="J379" s="90"/>
    </row>
    <row r="380" spans="1:10">
      <c r="A380" s="84"/>
      <c r="B380" s="93"/>
      <c r="C380" s="88"/>
      <c r="D380" s="107"/>
      <c r="E380" s="105"/>
      <c r="F380" s="105"/>
      <c r="G380" s="89"/>
      <c r="H380" s="95"/>
      <c r="I380" s="97"/>
      <c r="J380" s="90"/>
    </row>
    <row r="381" spans="1:10">
      <c r="A381" s="84"/>
      <c r="B381" s="93"/>
      <c r="C381" s="88"/>
      <c r="D381" s="107"/>
      <c r="E381" s="105"/>
      <c r="F381" s="105"/>
      <c r="G381" s="89"/>
      <c r="H381" s="95"/>
      <c r="I381" s="97"/>
      <c r="J381" s="90"/>
    </row>
    <row r="382" spans="1:10">
      <c r="A382" s="84"/>
      <c r="B382" s="93"/>
      <c r="C382" s="88"/>
      <c r="D382" s="107"/>
      <c r="E382" s="105"/>
      <c r="F382" s="105"/>
      <c r="G382" s="89"/>
      <c r="H382" s="95"/>
      <c r="I382" s="97"/>
      <c r="J382" s="90"/>
    </row>
    <row r="383" spans="1:10">
      <c r="A383" s="84"/>
      <c r="B383" s="93"/>
      <c r="C383" s="88"/>
      <c r="D383" s="107"/>
      <c r="E383" s="105"/>
      <c r="F383" s="105"/>
      <c r="G383" s="89"/>
      <c r="H383" s="95"/>
      <c r="I383" s="97"/>
      <c r="J383" s="90"/>
    </row>
    <row r="384" spans="1:10">
      <c r="A384" s="84"/>
      <c r="B384" s="93"/>
      <c r="C384" s="88"/>
      <c r="D384" s="107"/>
      <c r="E384" s="105"/>
      <c r="F384" s="105"/>
      <c r="G384" s="89"/>
      <c r="H384" s="95"/>
      <c r="I384" s="97"/>
      <c r="J384" s="90"/>
    </row>
    <row r="385" spans="1:10">
      <c r="A385" s="84"/>
      <c r="B385" s="93"/>
      <c r="C385" s="88"/>
      <c r="D385" s="107"/>
      <c r="E385" s="105"/>
      <c r="F385" s="105"/>
      <c r="G385" s="89"/>
      <c r="H385" s="95"/>
      <c r="I385" s="97"/>
      <c r="J385" s="90"/>
    </row>
    <row r="386" spans="1:10">
      <c r="A386" s="84"/>
      <c r="B386" s="93"/>
      <c r="C386" s="88"/>
      <c r="D386" s="107"/>
      <c r="E386" s="105"/>
      <c r="F386" s="105"/>
      <c r="G386" s="89"/>
      <c r="H386" s="95"/>
      <c r="I386" s="97"/>
      <c r="J386" s="90"/>
    </row>
    <row r="387" spans="1:10">
      <c r="A387" s="84"/>
      <c r="B387" s="93"/>
      <c r="C387" s="88"/>
      <c r="D387" s="107"/>
      <c r="E387" s="105"/>
      <c r="F387" s="105"/>
      <c r="G387" s="89"/>
      <c r="H387" s="95"/>
      <c r="I387" s="97"/>
      <c r="J387" s="90"/>
    </row>
    <row r="388" spans="1:10">
      <c r="A388" s="84"/>
      <c r="B388" s="93"/>
      <c r="C388" s="88"/>
      <c r="D388" s="107"/>
      <c r="E388" s="105"/>
      <c r="F388" s="105"/>
      <c r="G388" s="89"/>
      <c r="H388" s="95"/>
      <c r="I388" s="97"/>
      <c r="J388" s="90"/>
    </row>
    <row r="389" spans="1:10">
      <c r="A389" s="84"/>
      <c r="B389" s="93"/>
      <c r="C389" s="88"/>
      <c r="D389" s="107"/>
      <c r="E389" s="105"/>
      <c r="F389" s="105"/>
      <c r="G389" s="89"/>
      <c r="H389" s="95"/>
      <c r="I389" s="97"/>
      <c r="J389" s="90"/>
    </row>
    <row r="390" spans="1:10">
      <c r="A390" s="84"/>
      <c r="B390" s="93"/>
      <c r="C390" s="88"/>
      <c r="D390" s="107"/>
      <c r="E390" s="105"/>
      <c r="F390" s="105"/>
      <c r="G390" s="89"/>
      <c r="H390" s="95"/>
      <c r="I390" s="97"/>
      <c r="J390" s="90"/>
    </row>
    <row r="391" spans="1:10">
      <c r="A391" s="84"/>
      <c r="B391" s="93"/>
      <c r="C391" s="88"/>
      <c r="D391" s="107"/>
      <c r="E391" s="105"/>
      <c r="F391" s="105"/>
      <c r="G391" s="89"/>
      <c r="H391" s="95"/>
      <c r="I391" s="97"/>
      <c r="J391" s="90"/>
    </row>
    <row r="392" spans="1:10">
      <c r="A392" s="84"/>
      <c r="B392" s="93"/>
      <c r="C392" s="88"/>
      <c r="D392" s="107"/>
      <c r="E392" s="105"/>
      <c r="F392" s="105"/>
      <c r="G392" s="89"/>
      <c r="H392" s="95"/>
      <c r="I392" s="97"/>
      <c r="J392" s="90"/>
    </row>
    <row r="393" spans="1:10">
      <c r="A393" s="84"/>
      <c r="B393" s="93"/>
      <c r="C393" s="88"/>
      <c r="D393" s="107"/>
      <c r="E393" s="105"/>
      <c r="F393" s="105"/>
      <c r="G393" s="89"/>
      <c r="H393" s="95"/>
      <c r="I393" s="97"/>
      <c r="J393" s="90"/>
    </row>
    <row r="394" spans="1:10">
      <c r="A394" s="84"/>
      <c r="B394" s="93"/>
      <c r="C394" s="88"/>
      <c r="D394" s="107"/>
      <c r="E394" s="105"/>
      <c r="F394" s="105"/>
      <c r="G394" s="89"/>
      <c r="H394" s="95"/>
      <c r="I394" s="97"/>
      <c r="J394" s="90"/>
    </row>
    <row r="395" spans="1:10">
      <c r="A395" s="84"/>
      <c r="B395" s="93"/>
      <c r="C395" s="88"/>
      <c r="D395" s="107"/>
      <c r="E395" s="105"/>
      <c r="F395" s="105"/>
      <c r="G395" s="89"/>
      <c r="H395" s="95"/>
      <c r="I395" s="97"/>
      <c r="J395" s="90"/>
    </row>
    <row r="396" spans="1:10">
      <c r="A396" s="84"/>
      <c r="B396" s="93"/>
      <c r="C396" s="88"/>
      <c r="D396" s="107"/>
      <c r="E396" s="105"/>
      <c r="F396" s="105"/>
      <c r="G396" s="89"/>
      <c r="H396" s="95"/>
      <c r="I396" s="97"/>
      <c r="J396" s="90"/>
    </row>
    <row r="397" spans="1:10">
      <c r="A397" s="84"/>
      <c r="B397" s="93"/>
      <c r="C397" s="88"/>
      <c r="D397" s="107"/>
      <c r="E397" s="105"/>
      <c r="F397" s="105"/>
      <c r="G397" s="89"/>
      <c r="H397" s="95"/>
      <c r="I397" s="97"/>
      <c r="J397" s="90"/>
    </row>
    <row r="398" spans="1:10">
      <c r="A398" s="84"/>
      <c r="B398" s="93"/>
      <c r="C398" s="88"/>
      <c r="D398" s="107"/>
      <c r="E398" s="105"/>
      <c r="F398" s="105"/>
      <c r="G398" s="89"/>
      <c r="H398" s="95"/>
      <c r="I398" s="97"/>
      <c r="J398" s="90"/>
    </row>
    <row r="399" spans="1:10">
      <c r="A399" s="84"/>
      <c r="B399" s="93"/>
      <c r="C399" s="88"/>
      <c r="D399" s="107"/>
      <c r="E399" s="105"/>
      <c r="F399" s="105"/>
      <c r="G399" s="89"/>
      <c r="H399" s="95"/>
      <c r="I399" s="97"/>
      <c r="J399" s="90"/>
    </row>
    <row r="400" spans="1:10">
      <c r="A400" s="84"/>
      <c r="B400" s="93"/>
      <c r="C400" s="88"/>
      <c r="D400" s="107"/>
      <c r="E400" s="105"/>
      <c r="F400" s="105"/>
      <c r="G400" s="89"/>
      <c r="H400" s="95"/>
      <c r="I400" s="97"/>
      <c r="J400" s="90"/>
    </row>
    <row r="401" spans="1:10">
      <c r="A401" s="84"/>
      <c r="B401" s="93"/>
      <c r="C401" s="88"/>
      <c r="D401" s="107"/>
      <c r="E401" s="105"/>
      <c r="F401" s="105"/>
      <c r="G401" s="89"/>
      <c r="H401" s="95"/>
      <c r="I401" s="97"/>
      <c r="J401" s="90"/>
    </row>
    <row r="402" spans="1:10">
      <c r="A402" s="84"/>
      <c r="B402" s="93"/>
      <c r="C402" s="88"/>
      <c r="D402" s="107"/>
      <c r="E402" s="105"/>
      <c r="F402" s="105"/>
      <c r="G402" s="89"/>
      <c r="H402" s="95"/>
      <c r="I402" s="97"/>
      <c r="J402" s="90"/>
    </row>
    <row r="403" spans="1:10">
      <c r="A403" s="84"/>
      <c r="B403" s="93"/>
      <c r="C403" s="88"/>
      <c r="D403" s="107"/>
      <c r="E403" s="105"/>
      <c r="F403" s="105"/>
      <c r="G403" s="89"/>
      <c r="H403" s="95"/>
      <c r="I403" s="97"/>
      <c r="J403" s="90"/>
    </row>
    <row r="404" spans="1:10">
      <c r="A404" s="84"/>
      <c r="B404" s="93"/>
      <c r="C404" s="88"/>
      <c r="D404" s="107"/>
      <c r="E404" s="105"/>
      <c r="F404" s="105"/>
      <c r="G404" s="89"/>
      <c r="H404" s="95"/>
      <c r="I404" s="97"/>
      <c r="J404" s="90"/>
    </row>
    <row r="405" spans="1:10">
      <c r="A405" s="84"/>
      <c r="B405" s="93"/>
      <c r="C405" s="88"/>
      <c r="D405" s="107"/>
      <c r="E405" s="105"/>
      <c r="F405" s="105"/>
      <c r="G405" s="89"/>
      <c r="H405" s="95"/>
      <c r="I405" s="97"/>
      <c r="J405" s="90"/>
    </row>
    <row r="406" spans="1:10">
      <c r="A406" s="84"/>
      <c r="B406" s="93"/>
      <c r="C406" s="88"/>
      <c r="D406" s="107"/>
      <c r="E406" s="105"/>
      <c r="F406" s="105"/>
      <c r="G406" s="89"/>
      <c r="H406" s="95"/>
      <c r="I406" s="97"/>
      <c r="J406" s="90"/>
    </row>
    <row r="407" spans="1:10">
      <c r="A407" s="84"/>
      <c r="B407" s="93"/>
      <c r="C407" s="88"/>
      <c r="D407" s="107"/>
      <c r="E407" s="105"/>
      <c r="F407" s="105"/>
      <c r="G407" s="89"/>
      <c r="H407" s="95"/>
      <c r="I407" s="97"/>
      <c r="J407" s="90"/>
    </row>
    <row r="408" spans="1:10">
      <c r="A408" s="84"/>
      <c r="B408" s="93"/>
      <c r="C408" s="88"/>
      <c r="D408" s="107"/>
      <c r="E408" s="105"/>
      <c r="F408" s="105"/>
      <c r="G408" s="89"/>
      <c r="H408" s="95"/>
      <c r="I408" s="97"/>
      <c r="J408" s="90"/>
    </row>
    <row r="409" spans="1:10">
      <c r="A409" s="84"/>
      <c r="B409" s="93"/>
      <c r="C409" s="88"/>
      <c r="D409" s="107"/>
      <c r="E409" s="105"/>
      <c r="F409" s="105"/>
      <c r="G409" s="89"/>
      <c r="H409" s="95"/>
      <c r="I409" s="97"/>
      <c r="J409" s="90"/>
    </row>
    <row r="410" spans="1:10">
      <c r="A410" s="84"/>
      <c r="B410" s="93"/>
      <c r="C410" s="88"/>
      <c r="D410" s="107"/>
      <c r="E410" s="105"/>
      <c r="F410" s="105"/>
      <c r="G410" s="89"/>
      <c r="H410" s="95"/>
      <c r="I410" s="97"/>
      <c r="J410" s="90"/>
    </row>
    <row r="411" spans="1:10">
      <c r="A411" s="84"/>
      <c r="B411" s="93"/>
      <c r="C411" s="88"/>
      <c r="D411" s="107"/>
      <c r="E411" s="105"/>
      <c r="F411" s="105"/>
      <c r="G411" s="89"/>
      <c r="H411" s="95"/>
      <c r="I411" s="97"/>
      <c r="J411" s="90"/>
    </row>
    <row r="412" spans="1:10">
      <c r="A412" s="84"/>
      <c r="B412" s="93"/>
      <c r="C412" s="88"/>
      <c r="D412" s="107"/>
      <c r="E412" s="105"/>
      <c r="F412" s="105"/>
      <c r="G412" s="89"/>
      <c r="H412" s="95"/>
      <c r="I412" s="97"/>
      <c r="J412" s="90"/>
    </row>
    <row r="413" spans="1:10">
      <c r="A413" s="84"/>
      <c r="B413" s="93"/>
      <c r="C413" s="88"/>
      <c r="D413" s="107"/>
      <c r="E413" s="105"/>
      <c r="F413" s="105"/>
      <c r="G413" s="89"/>
      <c r="H413" s="95"/>
      <c r="I413" s="97"/>
      <c r="J413" s="90"/>
    </row>
    <row r="414" spans="1:10">
      <c r="A414" s="84"/>
      <c r="B414" s="93"/>
      <c r="C414" s="88"/>
      <c r="D414" s="107"/>
      <c r="E414" s="105"/>
      <c r="F414" s="105"/>
      <c r="G414" s="89"/>
      <c r="H414" s="95"/>
      <c r="I414" s="97"/>
      <c r="J414" s="90"/>
    </row>
    <row r="415" spans="1:10">
      <c r="A415" s="84"/>
      <c r="B415" s="93"/>
      <c r="C415" s="88"/>
      <c r="D415" s="107"/>
      <c r="E415" s="105"/>
      <c r="F415" s="105"/>
      <c r="G415" s="89"/>
      <c r="H415" s="95"/>
      <c r="I415" s="97"/>
      <c r="J415" s="90"/>
    </row>
    <row r="416" spans="1:10">
      <c r="A416" s="84"/>
      <c r="B416" s="93"/>
      <c r="C416" s="88"/>
      <c r="D416" s="107"/>
      <c r="E416" s="105"/>
      <c r="F416" s="105"/>
      <c r="G416" s="89"/>
      <c r="H416" s="95"/>
      <c r="I416" s="97"/>
      <c r="J416" s="90"/>
    </row>
    <row r="417" spans="1:10">
      <c r="A417" s="84"/>
      <c r="B417" s="93"/>
      <c r="C417" s="88"/>
      <c r="D417" s="107"/>
      <c r="E417" s="105"/>
      <c r="F417" s="105"/>
      <c r="G417" s="89"/>
      <c r="H417" s="95"/>
      <c r="I417" s="97"/>
      <c r="J417" s="90"/>
    </row>
    <row r="418" spans="1:10">
      <c r="A418" s="84"/>
      <c r="B418" s="93"/>
      <c r="C418" s="88"/>
      <c r="D418" s="107"/>
      <c r="E418" s="105"/>
      <c r="F418" s="105"/>
      <c r="G418" s="89"/>
      <c r="H418" s="95"/>
      <c r="I418" s="97"/>
      <c r="J418" s="90"/>
    </row>
    <row r="419" spans="1:10">
      <c r="A419" s="84"/>
      <c r="B419" s="93"/>
      <c r="C419" s="88"/>
      <c r="D419" s="107"/>
      <c r="E419" s="105"/>
      <c r="F419" s="105"/>
      <c r="G419" s="89"/>
      <c r="H419" s="95"/>
      <c r="I419" s="97"/>
      <c r="J419" s="90"/>
    </row>
    <row r="420" spans="1:10">
      <c r="A420" s="84"/>
      <c r="B420" s="93"/>
      <c r="C420" s="88"/>
      <c r="D420" s="107"/>
      <c r="E420" s="105"/>
      <c r="F420" s="105"/>
      <c r="G420" s="89"/>
      <c r="H420" s="95"/>
      <c r="I420" s="97"/>
      <c r="J420" s="90"/>
    </row>
    <row r="421" spans="1:10">
      <c r="A421" s="84"/>
      <c r="B421" s="93"/>
      <c r="C421" s="88"/>
      <c r="D421" s="107"/>
      <c r="E421" s="105"/>
      <c r="F421" s="105"/>
      <c r="G421" s="89"/>
      <c r="H421" s="95"/>
      <c r="I421" s="97"/>
      <c r="J421" s="90"/>
    </row>
    <row r="422" spans="1:10">
      <c r="A422" s="84"/>
      <c r="B422" s="93"/>
      <c r="C422" s="88"/>
      <c r="D422" s="107"/>
      <c r="E422" s="105"/>
      <c r="F422" s="105"/>
      <c r="G422" s="89"/>
      <c r="H422" s="95"/>
      <c r="I422" s="97"/>
      <c r="J422" s="90"/>
    </row>
    <row r="423" spans="1:10">
      <c r="A423" s="84"/>
      <c r="B423" s="93"/>
      <c r="C423" s="88"/>
      <c r="D423" s="107"/>
      <c r="E423" s="105"/>
      <c r="F423" s="105"/>
      <c r="G423" s="89"/>
      <c r="H423" s="95"/>
      <c r="I423" s="97"/>
      <c r="J423" s="90"/>
    </row>
    <row r="424" spans="1:10">
      <c r="A424" s="84"/>
      <c r="B424" s="93"/>
      <c r="C424" s="88"/>
      <c r="D424" s="107"/>
      <c r="E424" s="105"/>
      <c r="F424" s="105"/>
      <c r="G424" s="89"/>
      <c r="H424" s="95"/>
      <c r="I424" s="97"/>
      <c r="J424" s="90"/>
    </row>
    <row r="425" spans="1:10">
      <c r="A425" s="84"/>
      <c r="B425" s="93"/>
      <c r="C425" s="88"/>
      <c r="D425" s="107"/>
      <c r="E425" s="105"/>
      <c r="F425" s="105"/>
      <c r="G425" s="89"/>
      <c r="H425" s="95"/>
      <c r="I425" s="97"/>
      <c r="J425" s="90"/>
    </row>
    <row r="426" spans="1:10">
      <c r="A426" s="84"/>
      <c r="B426" s="93"/>
      <c r="C426" s="88"/>
      <c r="D426" s="107"/>
      <c r="E426" s="105"/>
      <c r="F426" s="105"/>
      <c r="G426" s="89"/>
      <c r="H426" s="95"/>
      <c r="I426" s="97"/>
      <c r="J426" s="90"/>
    </row>
    <row r="427" spans="1:10">
      <c r="A427" s="84"/>
      <c r="B427" s="93"/>
      <c r="C427" s="88"/>
      <c r="D427" s="107"/>
      <c r="E427" s="105"/>
      <c r="F427" s="105"/>
      <c r="G427" s="89"/>
      <c r="H427" s="95"/>
      <c r="I427" s="97"/>
      <c r="J427" s="90"/>
    </row>
    <row r="428" spans="1:10">
      <c r="A428" s="84"/>
      <c r="B428" s="93"/>
      <c r="C428" s="88"/>
      <c r="D428" s="107"/>
      <c r="E428" s="105"/>
      <c r="F428" s="105"/>
      <c r="G428" s="89"/>
      <c r="H428" s="95"/>
      <c r="I428" s="97"/>
      <c r="J428" s="90"/>
    </row>
    <row r="429" spans="1:10">
      <c r="A429" s="84"/>
      <c r="B429" s="93"/>
      <c r="C429" s="88"/>
      <c r="D429" s="107"/>
      <c r="E429" s="105"/>
      <c r="F429" s="105"/>
      <c r="G429" s="89"/>
      <c r="H429" s="95"/>
      <c r="I429" s="97"/>
      <c r="J429" s="90"/>
    </row>
    <row r="430" spans="1:10">
      <c r="A430" s="84"/>
      <c r="B430" s="93"/>
      <c r="C430" s="88"/>
      <c r="D430" s="107"/>
      <c r="E430" s="105"/>
      <c r="F430" s="105"/>
      <c r="G430" s="89"/>
      <c r="H430" s="95"/>
      <c r="I430" s="97"/>
      <c r="J430" s="90"/>
    </row>
    <row r="431" spans="1:10">
      <c r="A431" s="84"/>
      <c r="B431" s="93"/>
      <c r="C431" s="88"/>
      <c r="D431" s="107"/>
      <c r="E431" s="105"/>
      <c r="F431" s="105"/>
      <c r="G431" s="89"/>
      <c r="H431" s="95"/>
      <c r="I431" s="97"/>
      <c r="J431" s="90"/>
    </row>
    <row r="432" spans="1:10">
      <c r="A432" s="84"/>
      <c r="B432" s="93"/>
      <c r="C432" s="88"/>
      <c r="D432" s="107"/>
      <c r="E432" s="105"/>
      <c r="F432" s="105"/>
      <c r="G432" s="89"/>
      <c r="H432" s="95"/>
      <c r="I432" s="97"/>
      <c r="J432" s="90"/>
    </row>
    <row r="433" spans="1:10">
      <c r="A433" s="84"/>
      <c r="B433" s="93"/>
      <c r="C433" s="88"/>
      <c r="D433" s="107"/>
      <c r="E433" s="105"/>
      <c r="F433" s="105"/>
      <c r="G433" s="89"/>
      <c r="H433" s="95"/>
      <c r="I433" s="97"/>
      <c r="J433" s="90"/>
    </row>
    <row r="434" spans="1:10">
      <c r="A434" s="84"/>
      <c r="B434" s="93"/>
      <c r="C434" s="88"/>
      <c r="D434" s="107"/>
      <c r="E434" s="105"/>
      <c r="F434" s="105"/>
      <c r="G434" s="89"/>
      <c r="H434" s="95"/>
      <c r="I434" s="97"/>
      <c r="J434" s="90"/>
    </row>
    <row r="435" spans="1:10">
      <c r="A435" s="84"/>
      <c r="B435" s="93"/>
      <c r="C435" s="88"/>
      <c r="D435" s="107"/>
      <c r="E435" s="105"/>
      <c r="F435" s="105"/>
      <c r="G435" s="89"/>
      <c r="H435" s="95"/>
      <c r="I435" s="97"/>
      <c r="J435" s="90"/>
    </row>
    <row r="436" spans="1:10">
      <c r="A436" s="84"/>
      <c r="B436" s="93"/>
      <c r="C436" s="88"/>
      <c r="D436" s="107"/>
      <c r="E436" s="105"/>
      <c r="F436" s="105"/>
      <c r="G436" s="89"/>
      <c r="H436" s="95"/>
      <c r="I436" s="97"/>
      <c r="J436" s="90"/>
    </row>
    <row r="437" spans="1:10">
      <c r="A437" s="84"/>
      <c r="B437" s="93"/>
      <c r="C437" s="88"/>
      <c r="D437" s="107"/>
      <c r="E437" s="105"/>
      <c r="F437" s="105"/>
      <c r="G437" s="89"/>
      <c r="H437" s="95"/>
      <c r="I437" s="97"/>
      <c r="J437" s="90"/>
    </row>
    <row r="438" spans="1:10">
      <c r="A438" s="84"/>
      <c r="B438" s="93"/>
      <c r="C438" s="88"/>
      <c r="D438" s="107"/>
      <c r="E438" s="105"/>
      <c r="F438" s="105"/>
      <c r="G438" s="89"/>
      <c r="H438" s="95"/>
      <c r="I438" s="97"/>
      <c r="J438" s="90"/>
    </row>
    <row r="439" spans="1:10">
      <c r="A439" s="84"/>
      <c r="B439" s="93"/>
      <c r="C439" s="88"/>
      <c r="D439" s="107"/>
      <c r="E439" s="105"/>
      <c r="F439" s="105"/>
      <c r="G439" s="89"/>
      <c r="H439" s="95"/>
      <c r="I439" s="97"/>
      <c r="J439" s="90"/>
    </row>
    <row r="440" spans="1:10">
      <c r="A440" s="84"/>
      <c r="B440" s="93"/>
      <c r="C440" s="88"/>
      <c r="D440" s="107"/>
      <c r="E440" s="105"/>
      <c r="F440" s="105"/>
      <c r="G440" s="89"/>
      <c r="H440" s="95"/>
      <c r="I440" s="97"/>
      <c r="J440" s="90"/>
    </row>
    <row r="441" spans="1:10">
      <c r="A441" s="84"/>
      <c r="B441" s="93"/>
      <c r="C441" s="88"/>
      <c r="D441" s="107"/>
      <c r="E441" s="105"/>
      <c r="F441" s="105"/>
      <c r="G441" s="89"/>
      <c r="H441" s="95"/>
      <c r="I441" s="97"/>
      <c r="J441" s="90"/>
    </row>
    <row r="442" spans="1:10">
      <c r="A442" s="84"/>
      <c r="B442" s="93"/>
      <c r="C442" s="88"/>
      <c r="D442" s="107"/>
      <c r="E442" s="105"/>
      <c r="F442" s="105"/>
      <c r="G442" s="89"/>
      <c r="H442" s="95"/>
      <c r="I442" s="97"/>
      <c r="J442" s="90"/>
    </row>
    <row r="443" spans="1:10">
      <c r="A443" s="84"/>
      <c r="B443" s="93"/>
      <c r="C443" s="88"/>
      <c r="D443" s="107"/>
      <c r="E443" s="105"/>
      <c r="F443" s="105"/>
      <c r="G443" s="89"/>
      <c r="H443" s="95"/>
      <c r="I443" s="97"/>
      <c r="J443" s="90"/>
    </row>
    <row r="444" spans="1:10">
      <c r="A444" s="84"/>
      <c r="B444" s="93"/>
      <c r="C444" s="88"/>
      <c r="D444" s="107"/>
      <c r="E444" s="105"/>
      <c r="F444" s="105"/>
      <c r="G444" s="89"/>
      <c r="H444" s="95"/>
      <c r="I444" s="97"/>
      <c r="J444" s="90"/>
    </row>
    <row r="445" spans="1:10">
      <c r="A445" s="84"/>
      <c r="B445" s="93"/>
      <c r="C445" s="88"/>
      <c r="D445" s="107"/>
      <c r="E445" s="105"/>
      <c r="F445" s="105"/>
      <c r="G445" s="89"/>
      <c r="H445" s="95"/>
      <c r="I445" s="97"/>
      <c r="J445" s="90"/>
    </row>
    <row r="446" spans="1:10">
      <c r="A446" s="84"/>
      <c r="B446" s="93"/>
      <c r="C446" s="88"/>
      <c r="D446" s="107"/>
      <c r="E446" s="105"/>
      <c r="F446" s="105"/>
      <c r="G446" s="89"/>
      <c r="H446" s="95"/>
      <c r="I446" s="97"/>
      <c r="J446" s="90"/>
    </row>
    <row r="447" spans="1:10">
      <c r="A447" s="84"/>
      <c r="B447" s="93"/>
      <c r="C447" s="88"/>
      <c r="D447" s="107"/>
      <c r="E447" s="105"/>
      <c r="F447" s="105"/>
      <c r="G447" s="89"/>
      <c r="H447" s="95"/>
      <c r="I447" s="97"/>
      <c r="J447" s="90"/>
    </row>
    <row r="448" spans="1:10">
      <c r="A448" s="84"/>
      <c r="B448" s="93"/>
      <c r="C448" s="88"/>
      <c r="D448" s="107"/>
      <c r="E448" s="105"/>
      <c r="F448" s="105"/>
      <c r="G448" s="89"/>
      <c r="H448" s="95"/>
      <c r="I448" s="97"/>
      <c r="J448" s="90"/>
    </row>
    <row r="449" spans="1:10">
      <c r="A449" s="84"/>
      <c r="B449" s="93"/>
      <c r="C449" s="88"/>
      <c r="D449" s="107"/>
      <c r="E449" s="105"/>
      <c r="F449" s="105"/>
      <c r="G449" s="89"/>
      <c r="H449" s="95"/>
      <c r="I449" s="97"/>
      <c r="J449" s="90"/>
    </row>
    <row r="450" spans="1:10">
      <c r="A450" s="84"/>
      <c r="B450" s="93"/>
      <c r="C450" s="88"/>
      <c r="D450" s="107"/>
      <c r="E450" s="105"/>
      <c r="F450" s="105"/>
      <c r="G450" s="89"/>
      <c r="H450" s="95"/>
      <c r="I450" s="97"/>
      <c r="J450" s="90"/>
    </row>
    <row r="451" spans="1:10">
      <c r="A451" s="84"/>
      <c r="B451" s="93"/>
      <c r="C451" s="88"/>
      <c r="D451" s="107"/>
      <c r="E451" s="105"/>
      <c r="F451" s="105"/>
      <c r="G451" s="89"/>
      <c r="H451" s="95"/>
      <c r="I451" s="97"/>
      <c r="J451" s="90"/>
    </row>
    <row r="452" spans="1:10">
      <c r="A452" s="84"/>
      <c r="B452" s="93"/>
      <c r="C452" s="88"/>
      <c r="D452" s="107"/>
      <c r="E452" s="105"/>
      <c r="F452" s="105"/>
      <c r="G452" s="89"/>
      <c r="H452" s="95"/>
      <c r="I452" s="97"/>
      <c r="J452" s="90"/>
    </row>
    <row r="453" spans="1:10">
      <c r="A453" s="84"/>
      <c r="B453" s="93"/>
      <c r="C453" s="88"/>
      <c r="D453" s="107"/>
      <c r="E453" s="105"/>
      <c r="F453" s="105"/>
      <c r="G453" s="89"/>
      <c r="H453" s="95"/>
      <c r="I453" s="97"/>
      <c r="J453" s="90"/>
    </row>
    <row r="454" spans="1:10">
      <c r="A454" s="84"/>
      <c r="B454" s="93"/>
      <c r="C454" s="88"/>
      <c r="D454" s="107"/>
      <c r="E454" s="105"/>
      <c r="F454" s="105"/>
      <c r="G454" s="89"/>
      <c r="H454" s="95"/>
      <c r="I454" s="97"/>
      <c r="J454" s="90"/>
    </row>
    <row r="455" spans="1:10">
      <c r="A455" s="84"/>
      <c r="B455" s="93"/>
      <c r="C455" s="88"/>
      <c r="D455" s="107"/>
      <c r="E455" s="105"/>
      <c r="F455" s="105"/>
      <c r="G455" s="89"/>
      <c r="H455" s="95"/>
      <c r="I455" s="97"/>
      <c r="J455" s="90"/>
    </row>
    <row r="456" spans="1:10">
      <c r="A456" s="84"/>
      <c r="B456" s="93"/>
      <c r="C456" s="88"/>
      <c r="D456" s="107"/>
      <c r="E456" s="105"/>
      <c r="F456" s="105"/>
      <c r="G456" s="89"/>
      <c r="H456" s="95"/>
      <c r="I456" s="97"/>
      <c r="J456" s="90"/>
    </row>
    <row r="457" spans="1:10">
      <c r="A457" s="84"/>
      <c r="B457" s="93"/>
      <c r="C457" s="88"/>
      <c r="D457" s="107"/>
      <c r="E457" s="105"/>
      <c r="F457" s="105"/>
      <c r="G457" s="89"/>
      <c r="H457" s="95"/>
      <c r="I457" s="97"/>
      <c r="J457" s="90"/>
    </row>
    <row r="458" spans="1:10">
      <c r="A458" s="84"/>
      <c r="B458" s="93"/>
      <c r="C458" s="88"/>
      <c r="D458" s="107"/>
      <c r="E458" s="105"/>
      <c r="F458" s="105"/>
      <c r="G458" s="89"/>
      <c r="H458" s="95"/>
      <c r="I458" s="97"/>
      <c r="J458" s="90"/>
    </row>
    <row r="459" spans="1:10">
      <c r="A459" s="84"/>
      <c r="B459" s="93"/>
      <c r="C459" s="88"/>
      <c r="D459" s="107"/>
      <c r="E459" s="105"/>
      <c r="F459" s="105"/>
      <c r="G459" s="89"/>
      <c r="H459" s="95"/>
      <c r="I459" s="97"/>
      <c r="J459" s="90"/>
    </row>
    <row r="460" spans="1:10">
      <c r="A460" s="84"/>
      <c r="B460" s="93"/>
      <c r="C460" s="88"/>
      <c r="D460" s="107"/>
      <c r="E460" s="105"/>
      <c r="F460" s="105"/>
      <c r="G460" s="89"/>
      <c r="H460" s="95"/>
      <c r="I460" s="97"/>
      <c r="J460" s="90"/>
    </row>
    <row r="461" spans="1:10">
      <c r="A461" s="84"/>
      <c r="B461" s="93"/>
      <c r="C461" s="88"/>
      <c r="D461" s="107"/>
      <c r="E461" s="105"/>
      <c r="F461" s="105"/>
      <c r="G461" s="89"/>
      <c r="H461" s="95"/>
      <c r="I461" s="97"/>
      <c r="J461" s="90"/>
    </row>
    <row r="462" spans="1:10">
      <c r="A462" s="84"/>
      <c r="B462" s="93"/>
      <c r="C462" s="88"/>
      <c r="D462" s="107"/>
      <c r="E462" s="105"/>
      <c r="F462" s="105"/>
      <c r="G462" s="89"/>
      <c r="H462" s="95"/>
      <c r="I462" s="97"/>
      <c r="J462" s="90"/>
    </row>
    <row r="463" spans="1:10">
      <c r="A463" s="84"/>
      <c r="B463" s="93"/>
      <c r="C463" s="88"/>
      <c r="D463" s="107"/>
      <c r="E463" s="105"/>
      <c r="F463" s="105"/>
      <c r="G463" s="89"/>
      <c r="H463" s="95"/>
      <c r="I463" s="97"/>
      <c r="J463" s="90"/>
    </row>
    <row r="464" spans="1:10">
      <c r="A464" s="84"/>
      <c r="B464" s="93"/>
      <c r="C464" s="88"/>
      <c r="D464" s="107"/>
      <c r="E464" s="105"/>
      <c r="F464" s="105"/>
      <c r="G464" s="89"/>
      <c r="H464" s="95"/>
      <c r="I464" s="97"/>
      <c r="J464" s="90"/>
    </row>
    <row r="465" spans="1:10">
      <c r="A465" s="84"/>
      <c r="B465" s="93"/>
      <c r="C465" s="88"/>
      <c r="D465" s="107"/>
      <c r="E465" s="105"/>
      <c r="F465" s="105"/>
      <c r="G465" s="89"/>
      <c r="H465" s="95"/>
      <c r="I465" s="97"/>
      <c r="J465" s="90"/>
    </row>
    <row r="466" spans="1:10">
      <c r="A466" s="84"/>
      <c r="B466" s="93"/>
      <c r="C466" s="88"/>
      <c r="D466" s="107"/>
      <c r="E466" s="105"/>
      <c r="F466" s="105"/>
      <c r="G466" s="89"/>
      <c r="H466" s="95"/>
      <c r="I466" s="97"/>
      <c r="J466" s="90"/>
    </row>
    <row r="467" spans="1:10">
      <c r="A467" s="84"/>
      <c r="B467" s="93"/>
      <c r="C467" s="88"/>
      <c r="D467" s="107"/>
      <c r="E467" s="105"/>
      <c r="F467" s="105"/>
      <c r="G467" s="89"/>
      <c r="H467" s="95"/>
      <c r="I467" s="97"/>
      <c r="J467" s="90"/>
    </row>
    <row r="468" spans="1:10">
      <c r="A468" s="84"/>
      <c r="B468" s="93"/>
      <c r="C468" s="88"/>
      <c r="D468" s="107"/>
      <c r="E468" s="105"/>
      <c r="F468" s="105"/>
      <c r="G468" s="89"/>
      <c r="H468" s="95"/>
      <c r="I468" s="97"/>
      <c r="J468" s="90"/>
    </row>
    <row r="469" spans="1:10">
      <c r="A469" s="84"/>
      <c r="B469" s="93"/>
      <c r="C469" s="88"/>
      <c r="D469" s="107"/>
      <c r="E469" s="105"/>
      <c r="F469" s="105"/>
      <c r="G469" s="89"/>
      <c r="H469" s="95"/>
      <c r="I469" s="97"/>
      <c r="J469" s="90"/>
    </row>
    <row r="470" spans="1:10">
      <c r="A470" s="84"/>
      <c r="B470" s="93"/>
      <c r="C470" s="88"/>
      <c r="D470" s="107"/>
      <c r="E470" s="105"/>
      <c r="F470" s="105"/>
      <c r="G470" s="89"/>
      <c r="H470" s="95"/>
      <c r="I470" s="97"/>
      <c r="J470" s="90"/>
    </row>
    <row r="471" spans="1:10">
      <c r="A471" s="84"/>
      <c r="B471" s="93"/>
      <c r="C471" s="88"/>
      <c r="D471" s="107"/>
      <c r="E471" s="105"/>
      <c r="F471" s="105"/>
      <c r="G471" s="89"/>
      <c r="H471" s="95"/>
      <c r="I471" s="97"/>
      <c r="J471" s="90"/>
    </row>
    <row r="472" spans="1:10">
      <c r="A472" s="84"/>
      <c r="B472" s="93"/>
      <c r="C472" s="88"/>
      <c r="D472" s="107"/>
      <c r="E472" s="105"/>
      <c r="F472" s="105"/>
      <c r="G472" s="89"/>
      <c r="H472" s="95"/>
      <c r="I472" s="97"/>
      <c r="J472" s="90"/>
    </row>
    <row r="473" spans="1:10">
      <c r="A473" s="84"/>
      <c r="B473" s="93"/>
      <c r="C473" s="88"/>
      <c r="D473" s="107"/>
      <c r="E473" s="105"/>
      <c r="F473" s="105"/>
      <c r="G473" s="89"/>
      <c r="H473" s="95"/>
      <c r="I473" s="97"/>
      <c r="J473" s="90"/>
    </row>
    <row r="474" spans="1:10">
      <c r="A474" s="84"/>
      <c r="B474" s="93"/>
      <c r="C474" s="88"/>
      <c r="D474" s="107"/>
      <c r="E474" s="105"/>
      <c r="F474" s="105"/>
      <c r="G474" s="89"/>
      <c r="H474" s="95"/>
      <c r="I474" s="97"/>
      <c r="J474" s="90"/>
    </row>
    <row r="475" spans="1:10">
      <c r="A475" s="84"/>
      <c r="B475" s="93"/>
      <c r="C475" s="88"/>
      <c r="D475" s="107"/>
      <c r="E475" s="105"/>
      <c r="F475" s="105"/>
      <c r="G475" s="89"/>
      <c r="H475" s="95"/>
      <c r="I475" s="97"/>
      <c r="J475" s="90"/>
    </row>
    <row r="476" spans="1:10">
      <c r="A476" s="84"/>
      <c r="B476" s="93"/>
      <c r="C476" s="88"/>
      <c r="D476" s="107"/>
      <c r="E476" s="105"/>
      <c r="F476" s="105"/>
      <c r="G476" s="89"/>
      <c r="H476" s="95"/>
      <c r="I476" s="97"/>
      <c r="J476" s="90"/>
    </row>
    <row r="477" spans="1:10">
      <c r="A477" s="84"/>
      <c r="B477" s="93"/>
      <c r="C477" s="88"/>
      <c r="D477" s="107"/>
      <c r="E477" s="105"/>
      <c r="F477" s="105"/>
      <c r="G477" s="89"/>
      <c r="H477" s="95"/>
      <c r="I477" s="97"/>
      <c r="J477" s="90"/>
    </row>
    <row r="478" spans="1:10">
      <c r="A478" s="84"/>
      <c r="B478" s="93"/>
      <c r="C478" s="88"/>
      <c r="D478" s="107"/>
      <c r="E478" s="105"/>
      <c r="F478" s="105"/>
      <c r="G478" s="89"/>
      <c r="H478" s="95"/>
      <c r="I478" s="97"/>
      <c r="J478" s="90"/>
    </row>
    <row r="479" spans="1:10">
      <c r="A479" s="84"/>
      <c r="B479" s="93"/>
      <c r="C479" s="88"/>
      <c r="D479" s="107"/>
      <c r="E479" s="105"/>
      <c r="F479" s="105"/>
      <c r="G479" s="89"/>
      <c r="H479" s="95"/>
      <c r="I479" s="97"/>
      <c r="J479" s="90"/>
    </row>
    <row r="480" spans="1:10">
      <c r="A480" s="84"/>
      <c r="B480" s="93"/>
      <c r="C480" s="88"/>
      <c r="D480" s="107"/>
      <c r="E480" s="105"/>
      <c r="F480" s="105"/>
      <c r="G480" s="89"/>
      <c r="H480" s="95"/>
      <c r="I480" s="97"/>
      <c r="J480" s="90"/>
    </row>
    <row r="481" spans="1:10">
      <c r="A481" s="84"/>
      <c r="B481" s="93"/>
      <c r="C481" s="88"/>
      <c r="D481" s="107"/>
      <c r="E481" s="105"/>
      <c r="F481" s="105"/>
      <c r="G481" s="89"/>
      <c r="H481" s="95"/>
      <c r="I481" s="97"/>
      <c r="J481" s="90"/>
    </row>
    <row r="482" spans="1:10">
      <c r="A482" s="84"/>
      <c r="B482" s="93"/>
      <c r="C482" s="88"/>
      <c r="D482" s="107"/>
      <c r="E482" s="105"/>
      <c r="F482" s="105"/>
      <c r="G482" s="89"/>
      <c r="H482" s="95"/>
      <c r="I482" s="97"/>
      <c r="J482" s="90"/>
    </row>
    <row r="483" spans="1:10">
      <c r="A483" s="84"/>
      <c r="B483" s="93"/>
      <c r="C483" s="88"/>
      <c r="D483" s="107"/>
      <c r="E483" s="105"/>
      <c r="F483" s="105"/>
      <c r="G483" s="89"/>
      <c r="H483" s="95"/>
      <c r="I483" s="97"/>
      <c r="J483" s="90"/>
    </row>
    <row r="484" spans="1:10">
      <c r="A484" s="84"/>
      <c r="B484" s="93"/>
      <c r="C484" s="88"/>
      <c r="D484" s="107"/>
      <c r="E484" s="105"/>
      <c r="F484" s="105"/>
      <c r="G484" s="89"/>
      <c r="H484" s="95"/>
      <c r="I484" s="97"/>
      <c r="J484" s="90"/>
    </row>
    <row r="485" spans="1:10">
      <c r="A485" s="84"/>
      <c r="B485" s="93"/>
      <c r="C485" s="88"/>
      <c r="D485" s="107"/>
      <c r="E485" s="105"/>
      <c r="F485" s="105"/>
      <c r="G485" s="89"/>
      <c r="H485" s="95"/>
      <c r="I485" s="97"/>
      <c r="J485" s="90"/>
    </row>
    <row r="486" spans="1:10">
      <c r="A486" s="84"/>
      <c r="B486" s="93"/>
      <c r="C486" s="88"/>
      <c r="D486" s="107"/>
      <c r="E486" s="105"/>
      <c r="F486" s="105"/>
      <c r="G486" s="89"/>
      <c r="H486" s="95"/>
      <c r="I486" s="97"/>
      <c r="J486" s="90"/>
    </row>
    <row r="487" spans="1:10">
      <c r="A487" s="84"/>
      <c r="B487" s="93"/>
      <c r="C487" s="88"/>
      <c r="D487" s="107"/>
      <c r="E487" s="105"/>
      <c r="F487" s="105"/>
      <c r="G487" s="89"/>
      <c r="H487" s="95"/>
      <c r="I487" s="97"/>
      <c r="J487" s="90"/>
    </row>
    <row r="488" spans="1:10">
      <c r="A488" s="84"/>
      <c r="B488" s="93"/>
      <c r="C488" s="88"/>
      <c r="D488" s="107"/>
      <c r="E488" s="105"/>
      <c r="F488" s="105"/>
      <c r="G488" s="89"/>
      <c r="H488" s="95"/>
      <c r="I488" s="97"/>
      <c r="J488" s="90"/>
    </row>
    <row r="489" spans="1:10">
      <c r="A489" s="84"/>
      <c r="B489" s="93"/>
      <c r="C489" s="88"/>
      <c r="D489" s="107"/>
      <c r="E489" s="105"/>
      <c r="F489" s="105"/>
      <c r="G489" s="89"/>
      <c r="H489" s="95"/>
      <c r="I489" s="97"/>
      <c r="J489" s="90"/>
    </row>
    <row r="490" spans="1:10">
      <c r="A490" s="84"/>
      <c r="B490" s="93"/>
      <c r="C490" s="88"/>
      <c r="D490" s="107"/>
      <c r="E490" s="105"/>
      <c r="F490" s="105"/>
      <c r="G490" s="89"/>
      <c r="H490" s="95"/>
      <c r="I490" s="97"/>
      <c r="J490" s="90"/>
    </row>
    <row r="491" spans="1:10">
      <c r="A491" s="84"/>
      <c r="B491" s="93"/>
      <c r="C491" s="88"/>
      <c r="D491" s="107"/>
      <c r="E491" s="105"/>
      <c r="F491" s="105"/>
      <c r="G491" s="89"/>
      <c r="H491" s="95"/>
      <c r="I491" s="97"/>
      <c r="J491" s="90"/>
    </row>
    <row r="492" spans="1:10">
      <c r="A492" s="84"/>
      <c r="B492" s="93"/>
      <c r="C492" s="88"/>
      <c r="D492" s="107"/>
      <c r="E492" s="105"/>
      <c r="F492" s="105"/>
      <c r="G492" s="89"/>
      <c r="H492" s="95"/>
      <c r="I492" s="97"/>
      <c r="J492" s="90"/>
    </row>
    <row r="493" spans="1:10">
      <c r="A493" s="84"/>
      <c r="B493" s="93"/>
      <c r="C493" s="88"/>
      <c r="D493" s="107"/>
      <c r="E493" s="105"/>
      <c r="F493" s="105"/>
      <c r="G493" s="89"/>
      <c r="H493" s="95"/>
      <c r="I493" s="97"/>
      <c r="J493" s="90"/>
    </row>
    <row r="494" spans="1:10">
      <c r="A494" s="84"/>
      <c r="B494" s="93"/>
      <c r="C494" s="88"/>
      <c r="D494" s="107"/>
      <c r="E494" s="105"/>
      <c r="F494" s="105"/>
      <c r="G494" s="89"/>
      <c r="H494" s="95"/>
      <c r="I494" s="97"/>
      <c r="J494" s="90"/>
    </row>
    <row r="495" spans="1:10">
      <c r="A495" s="84"/>
      <c r="B495" s="93"/>
      <c r="C495" s="88"/>
      <c r="D495" s="107"/>
      <c r="E495" s="105"/>
      <c r="F495" s="105"/>
      <c r="G495" s="89"/>
      <c r="H495" s="95"/>
      <c r="I495" s="97"/>
      <c r="J495" s="90"/>
    </row>
    <row r="496" spans="1:10">
      <c r="A496" s="84"/>
      <c r="B496" s="93"/>
      <c r="C496" s="88"/>
      <c r="D496" s="107"/>
      <c r="E496" s="105"/>
      <c r="F496" s="105"/>
      <c r="G496" s="89"/>
      <c r="H496" s="95"/>
      <c r="I496" s="97"/>
      <c r="J496" s="90"/>
    </row>
    <row r="497" spans="1:10">
      <c r="A497" s="84"/>
      <c r="B497" s="93"/>
      <c r="C497" s="88"/>
      <c r="D497" s="107"/>
      <c r="E497" s="105"/>
      <c r="F497" s="105"/>
      <c r="G497" s="89"/>
      <c r="H497" s="95"/>
      <c r="I497" s="97"/>
      <c r="J497" s="90"/>
    </row>
    <row r="498" spans="1:10">
      <c r="A498" s="84"/>
      <c r="B498" s="93"/>
      <c r="C498" s="88"/>
      <c r="D498" s="107"/>
      <c r="E498" s="105"/>
      <c r="F498" s="105"/>
      <c r="G498" s="89"/>
      <c r="H498" s="95"/>
      <c r="I498" s="97"/>
      <c r="J498" s="90"/>
    </row>
    <row r="499" spans="1:10">
      <c r="A499" s="84"/>
      <c r="B499" s="93"/>
      <c r="C499" s="88"/>
      <c r="D499" s="107"/>
      <c r="E499" s="105"/>
      <c r="F499" s="105"/>
      <c r="G499" s="89"/>
      <c r="H499" s="95"/>
      <c r="I499" s="97"/>
      <c r="J499" s="90"/>
    </row>
    <row r="500" spans="1:10">
      <c r="A500" s="84"/>
      <c r="B500" s="93"/>
      <c r="C500" s="88"/>
      <c r="D500" s="107"/>
      <c r="E500" s="105"/>
      <c r="F500" s="105"/>
      <c r="G500" s="89"/>
      <c r="H500" s="95"/>
      <c r="I500" s="97"/>
      <c r="J500" s="90"/>
    </row>
    <row r="501" spans="1:10">
      <c r="A501" s="84"/>
      <c r="B501" s="93"/>
      <c r="C501" s="88"/>
      <c r="D501" s="107"/>
      <c r="E501" s="105"/>
      <c r="F501" s="105"/>
      <c r="G501" s="89"/>
      <c r="H501" s="95"/>
      <c r="I501" s="97"/>
      <c r="J501" s="90"/>
    </row>
    <row r="502" spans="1:10">
      <c r="A502" s="84"/>
      <c r="B502" s="93"/>
      <c r="C502" s="88"/>
      <c r="D502" s="107"/>
      <c r="E502" s="105"/>
      <c r="F502" s="105"/>
      <c r="G502" s="89"/>
      <c r="H502" s="95"/>
      <c r="I502" s="97"/>
      <c r="J502" s="90"/>
    </row>
    <row r="503" spans="1:10">
      <c r="A503" s="84"/>
      <c r="B503" s="93"/>
      <c r="C503" s="88"/>
      <c r="D503" s="107"/>
      <c r="E503" s="105"/>
      <c r="F503" s="105"/>
      <c r="G503" s="89"/>
      <c r="H503" s="95"/>
      <c r="I503" s="97"/>
      <c r="J503" s="90"/>
    </row>
    <row r="504" spans="1:10">
      <c r="A504" s="84"/>
      <c r="B504" s="93"/>
      <c r="C504" s="88"/>
      <c r="D504" s="107"/>
      <c r="E504" s="105"/>
      <c r="F504" s="105"/>
      <c r="G504" s="89"/>
      <c r="H504" s="95"/>
      <c r="I504" s="97"/>
      <c r="J504" s="90"/>
    </row>
    <row r="505" spans="1:10">
      <c r="A505" s="84"/>
      <c r="B505" s="93"/>
      <c r="C505" s="88"/>
      <c r="D505" s="107"/>
      <c r="E505" s="105"/>
      <c r="F505" s="105"/>
      <c r="G505" s="89"/>
      <c r="H505" s="95"/>
      <c r="I505" s="97"/>
      <c r="J505" s="90"/>
    </row>
    <row r="506" spans="1:10">
      <c r="A506" s="84"/>
      <c r="B506" s="93"/>
      <c r="C506" s="88"/>
      <c r="D506" s="107"/>
      <c r="E506" s="105"/>
      <c r="F506" s="105"/>
      <c r="G506" s="89"/>
      <c r="H506" s="95"/>
      <c r="I506" s="97"/>
      <c r="J506" s="90"/>
    </row>
    <row r="507" spans="1:10">
      <c r="A507" s="84"/>
      <c r="B507" s="93"/>
      <c r="C507" s="88"/>
      <c r="D507" s="107"/>
      <c r="E507" s="105"/>
      <c r="F507" s="105"/>
      <c r="G507" s="89"/>
      <c r="H507" s="95"/>
      <c r="I507" s="97"/>
      <c r="J507" s="90"/>
    </row>
    <row r="508" spans="1:10">
      <c r="A508" s="84"/>
      <c r="B508" s="93"/>
      <c r="C508" s="88"/>
      <c r="D508" s="107"/>
      <c r="E508" s="105"/>
      <c r="F508" s="105"/>
      <c r="G508" s="89"/>
      <c r="H508" s="95"/>
      <c r="I508" s="97"/>
      <c r="J508" s="90"/>
    </row>
    <row r="509" spans="1:10">
      <c r="A509" s="84"/>
      <c r="B509" s="93"/>
      <c r="C509" s="88"/>
      <c r="D509" s="107"/>
      <c r="E509" s="105"/>
      <c r="F509" s="105"/>
      <c r="G509" s="89"/>
      <c r="H509" s="95"/>
      <c r="I509" s="97"/>
      <c r="J509" s="90"/>
    </row>
    <row r="510" spans="1:10">
      <c r="A510" s="84"/>
      <c r="B510" s="93"/>
      <c r="C510" s="88"/>
      <c r="D510" s="107"/>
      <c r="E510" s="105"/>
      <c r="F510" s="105"/>
      <c r="G510" s="89"/>
      <c r="H510" s="95"/>
      <c r="I510" s="97"/>
      <c r="J510" s="90"/>
    </row>
    <row r="511" spans="1:10">
      <c r="A511" s="84"/>
      <c r="B511" s="93"/>
      <c r="C511" s="88"/>
      <c r="D511" s="107"/>
      <c r="E511" s="105"/>
      <c r="F511" s="105"/>
      <c r="G511" s="89"/>
      <c r="H511" s="95"/>
      <c r="I511" s="97"/>
      <c r="J511" s="90"/>
    </row>
    <row r="512" spans="1:10">
      <c r="A512" s="84"/>
      <c r="B512" s="93"/>
      <c r="C512" s="88"/>
      <c r="D512" s="107"/>
      <c r="E512" s="105"/>
      <c r="F512" s="105"/>
      <c r="G512" s="89"/>
      <c r="H512" s="95"/>
      <c r="I512" s="97"/>
      <c r="J512" s="90"/>
    </row>
    <row r="513" spans="1:10">
      <c r="A513" s="84"/>
      <c r="B513" s="93"/>
      <c r="C513" s="88"/>
      <c r="D513" s="107"/>
      <c r="E513" s="105"/>
      <c r="F513" s="105"/>
      <c r="G513" s="89"/>
      <c r="H513" s="95"/>
      <c r="I513" s="97"/>
      <c r="J513" s="90"/>
    </row>
    <row r="514" spans="1:10">
      <c r="A514" s="84"/>
      <c r="B514" s="93"/>
      <c r="C514" s="88"/>
      <c r="D514" s="107"/>
      <c r="E514" s="105"/>
      <c r="F514" s="105"/>
      <c r="G514" s="89"/>
      <c r="H514" s="95"/>
      <c r="I514" s="97"/>
      <c r="J514" s="90"/>
    </row>
    <row r="515" spans="1:10">
      <c r="A515" s="84"/>
      <c r="B515" s="93"/>
      <c r="C515" s="88"/>
      <c r="D515" s="107"/>
      <c r="E515" s="105"/>
      <c r="F515" s="105"/>
      <c r="G515" s="89"/>
      <c r="H515" s="95"/>
      <c r="I515" s="97"/>
      <c r="J515" s="90"/>
    </row>
    <row r="516" spans="1:10">
      <c r="A516" s="84"/>
      <c r="B516" s="93"/>
      <c r="C516" s="88"/>
      <c r="D516" s="107"/>
      <c r="E516" s="105"/>
      <c r="F516" s="105"/>
      <c r="G516" s="89"/>
      <c r="H516" s="95"/>
      <c r="I516" s="97"/>
      <c r="J516" s="90"/>
    </row>
    <row r="517" spans="1:10">
      <c r="A517" s="84"/>
      <c r="B517" s="93"/>
      <c r="C517" s="88"/>
      <c r="D517" s="107"/>
      <c r="E517" s="105"/>
      <c r="F517" s="105"/>
      <c r="G517" s="89"/>
      <c r="H517" s="95"/>
      <c r="I517" s="97"/>
      <c r="J517" s="90"/>
    </row>
    <row r="518" spans="1:10">
      <c r="A518" s="84"/>
      <c r="B518" s="93"/>
      <c r="C518" s="88"/>
      <c r="D518" s="107"/>
      <c r="E518" s="105"/>
      <c r="F518" s="105"/>
      <c r="G518" s="89"/>
      <c r="H518" s="95"/>
      <c r="I518" s="97"/>
      <c r="J518" s="90"/>
    </row>
    <row r="519" spans="1:10">
      <c r="A519" s="84"/>
      <c r="B519" s="93"/>
      <c r="C519" s="88"/>
      <c r="D519" s="107"/>
      <c r="E519" s="105"/>
      <c r="F519" s="105"/>
      <c r="G519" s="89"/>
      <c r="H519" s="95"/>
      <c r="I519" s="97"/>
      <c r="J519" s="90"/>
    </row>
    <row r="520" spans="1:10">
      <c r="A520" s="84"/>
      <c r="B520" s="93"/>
      <c r="C520" s="88"/>
      <c r="D520" s="107"/>
      <c r="E520" s="105"/>
      <c r="F520" s="105"/>
      <c r="G520" s="89"/>
      <c r="H520" s="95"/>
      <c r="I520" s="97"/>
      <c r="J520" s="90"/>
    </row>
    <row r="521" spans="1:10">
      <c r="A521" s="84"/>
      <c r="B521" s="93"/>
      <c r="C521" s="88"/>
      <c r="D521" s="107"/>
      <c r="E521" s="105"/>
      <c r="F521" s="105"/>
      <c r="G521" s="89"/>
      <c r="H521" s="95"/>
      <c r="I521" s="97"/>
      <c r="J521" s="90"/>
    </row>
    <row r="522" spans="1:10">
      <c r="A522" s="84"/>
      <c r="B522" s="93"/>
      <c r="C522" s="88"/>
      <c r="D522" s="107"/>
      <c r="E522" s="105"/>
      <c r="F522" s="105"/>
      <c r="G522" s="89"/>
      <c r="H522" s="95"/>
      <c r="I522" s="97"/>
      <c r="J522" s="90"/>
    </row>
    <row r="523" spans="1:10">
      <c r="A523" s="84"/>
      <c r="B523" s="93"/>
      <c r="C523" s="88"/>
      <c r="D523" s="107"/>
      <c r="E523" s="105"/>
      <c r="F523" s="105"/>
      <c r="G523" s="89"/>
      <c r="H523" s="95"/>
      <c r="I523" s="97"/>
      <c r="J523" s="90"/>
    </row>
    <row r="524" spans="1:10">
      <c r="A524" s="84"/>
      <c r="B524" s="93"/>
      <c r="C524" s="88"/>
      <c r="D524" s="107"/>
      <c r="E524" s="105"/>
      <c r="F524" s="105"/>
      <c r="G524" s="89"/>
      <c r="H524" s="95"/>
      <c r="I524" s="97"/>
      <c r="J524" s="90"/>
    </row>
    <row r="525" spans="1:10">
      <c r="A525" s="84"/>
      <c r="B525" s="93"/>
      <c r="C525" s="88"/>
      <c r="D525" s="107"/>
      <c r="E525" s="105"/>
      <c r="F525" s="105"/>
      <c r="G525" s="89"/>
      <c r="H525" s="95"/>
      <c r="I525" s="97"/>
      <c r="J525" s="90"/>
    </row>
    <row r="526" spans="1:10">
      <c r="A526" s="84"/>
      <c r="B526" s="93"/>
      <c r="C526" s="88"/>
      <c r="D526" s="107"/>
      <c r="E526" s="105"/>
      <c r="F526" s="105"/>
      <c r="G526" s="89"/>
      <c r="H526" s="95"/>
      <c r="I526" s="97"/>
      <c r="J526" s="90"/>
    </row>
    <row r="527" spans="1:10">
      <c r="A527" s="84"/>
      <c r="B527" s="93"/>
      <c r="C527" s="88"/>
      <c r="D527" s="107"/>
      <c r="E527" s="105"/>
      <c r="F527" s="105"/>
      <c r="G527" s="89"/>
      <c r="H527" s="95"/>
      <c r="I527" s="97"/>
      <c r="J527" s="90"/>
    </row>
    <row r="528" spans="1:10">
      <c r="A528" s="84"/>
      <c r="B528" s="93"/>
      <c r="C528" s="88"/>
      <c r="D528" s="107"/>
      <c r="E528" s="105"/>
      <c r="F528" s="105"/>
      <c r="G528" s="89"/>
      <c r="H528" s="95"/>
      <c r="I528" s="97"/>
      <c r="J528" s="90"/>
    </row>
    <row r="529" spans="1:10">
      <c r="A529" s="84"/>
      <c r="B529" s="93"/>
      <c r="C529" s="88"/>
      <c r="D529" s="107"/>
      <c r="E529" s="105"/>
      <c r="F529" s="105"/>
      <c r="G529" s="89"/>
      <c r="H529" s="95"/>
      <c r="I529" s="97"/>
      <c r="J529" s="90"/>
    </row>
    <row r="530" spans="1:10">
      <c r="A530" s="84"/>
      <c r="B530" s="93"/>
      <c r="C530" s="88"/>
      <c r="D530" s="107"/>
      <c r="E530" s="105"/>
      <c r="F530" s="105"/>
      <c r="G530" s="89"/>
      <c r="H530" s="95"/>
      <c r="I530" s="97"/>
      <c r="J530" s="90"/>
    </row>
    <row r="531" spans="1:10">
      <c r="A531" s="84"/>
      <c r="B531" s="93"/>
      <c r="C531" s="88"/>
      <c r="D531" s="107"/>
      <c r="E531" s="105"/>
      <c r="F531" s="105"/>
      <c r="G531" s="89"/>
      <c r="H531" s="95"/>
      <c r="I531" s="97"/>
      <c r="J531" s="90"/>
    </row>
    <row r="532" spans="1:10">
      <c r="A532" s="84"/>
      <c r="B532" s="93"/>
      <c r="C532" s="88"/>
      <c r="D532" s="107"/>
      <c r="E532" s="105"/>
      <c r="F532" s="105"/>
      <c r="G532" s="89"/>
      <c r="H532" s="95"/>
      <c r="I532" s="97"/>
      <c r="J532" s="90"/>
    </row>
    <row r="533" spans="1:10">
      <c r="A533" s="84"/>
      <c r="B533" s="93"/>
      <c r="C533" s="88"/>
      <c r="D533" s="107"/>
      <c r="E533" s="105"/>
      <c r="F533" s="105"/>
      <c r="G533" s="89"/>
      <c r="H533" s="95"/>
      <c r="I533" s="97"/>
      <c r="J533" s="90"/>
    </row>
    <row r="534" spans="1:10">
      <c r="A534" s="84"/>
      <c r="B534" s="93"/>
      <c r="C534" s="88"/>
      <c r="D534" s="107"/>
      <c r="E534" s="105"/>
      <c r="F534" s="105"/>
      <c r="G534" s="89"/>
      <c r="H534" s="95"/>
      <c r="I534" s="97"/>
      <c r="J534" s="90"/>
    </row>
    <row r="535" spans="1:10">
      <c r="A535" s="84"/>
      <c r="B535" s="93"/>
      <c r="C535" s="88"/>
      <c r="D535" s="107"/>
      <c r="E535" s="105"/>
      <c r="F535" s="105"/>
      <c r="G535" s="89"/>
      <c r="H535" s="95"/>
      <c r="I535" s="97"/>
      <c r="J535" s="90"/>
    </row>
    <row r="536" spans="1:10">
      <c r="A536" s="84"/>
      <c r="B536" s="93"/>
      <c r="C536" s="88"/>
      <c r="D536" s="107"/>
      <c r="E536" s="105"/>
      <c r="F536" s="105"/>
      <c r="G536" s="89"/>
      <c r="H536" s="95"/>
      <c r="I536" s="97"/>
      <c r="J536" s="90"/>
    </row>
    <row r="537" spans="1:10">
      <c r="A537" s="84"/>
      <c r="B537" s="93"/>
      <c r="C537" s="88"/>
      <c r="D537" s="107"/>
      <c r="E537" s="105"/>
      <c r="F537" s="105"/>
      <c r="G537" s="89"/>
      <c r="H537" s="95"/>
      <c r="I537" s="97"/>
      <c r="J537" s="90"/>
    </row>
    <row r="538" spans="1:10">
      <c r="A538" s="84"/>
      <c r="B538" s="93"/>
      <c r="C538" s="88"/>
      <c r="D538" s="107"/>
      <c r="E538" s="105"/>
      <c r="F538" s="105"/>
      <c r="G538" s="89"/>
      <c r="H538" s="95"/>
      <c r="I538" s="97"/>
      <c r="J538" s="90"/>
    </row>
    <row r="539" spans="1:10">
      <c r="A539" s="84"/>
      <c r="B539" s="93"/>
      <c r="C539" s="88"/>
      <c r="D539" s="107"/>
      <c r="E539" s="105"/>
      <c r="F539" s="105"/>
      <c r="G539" s="89"/>
      <c r="H539" s="95"/>
      <c r="I539" s="97"/>
      <c r="J539" s="90"/>
    </row>
    <row r="540" spans="1:10">
      <c r="A540" s="84"/>
      <c r="B540" s="93"/>
      <c r="C540" s="88"/>
      <c r="D540" s="107"/>
      <c r="E540" s="105"/>
      <c r="F540" s="105"/>
      <c r="G540" s="89"/>
      <c r="H540" s="95"/>
      <c r="I540" s="97"/>
      <c r="J540" s="90"/>
    </row>
    <row r="541" spans="1:10">
      <c r="A541" s="84"/>
      <c r="B541" s="93"/>
      <c r="C541" s="88"/>
      <c r="D541" s="107"/>
      <c r="E541" s="105"/>
      <c r="F541" s="105"/>
      <c r="G541" s="89"/>
      <c r="H541" s="95"/>
      <c r="I541" s="97"/>
      <c r="J541" s="90"/>
    </row>
    <row r="542" spans="1:10">
      <c r="A542" s="84"/>
      <c r="B542" s="93"/>
      <c r="C542" s="88"/>
      <c r="D542" s="107"/>
      <c r="E542" s="105"/>
      <c r="F542" s="105"/>
      <c r="G542" s="89"/>
      <c r="H542" s="95"/>
      <c r="I542" s="97"/>
      <c r="J542" s="90"/>
    </row>
    <row r="543" spans="1:10">
      <c r="A543" s="84"/>
      <c r="B543" s="93"/>
      <c r="C543" s="88"/>
      <c r="D543" s="107"/>
      <c r="E543" s="105"/>
      <c r="F543" s="105"/>
      <c r="G543" s="89"/>
      <c r="H543" s="95"/>
      <c r="I543" s="97"/>
      <c r="J543" s="90"/>
    </row>
    <row r="544" spans="1:10">
      <c r="A544" s="84"/>
      <c r="B544" s="93"/>
      <c r="C544" s="88"/>
      <c r="D544" s="107"/>
      <c r="E544" s="105"/>
      <c r="F544" s="105"/>
      <c r="G544" s="89"/>
      <c r="H544" s="95"/>
      <c r="I544" s="97"/>
      <c r="J544" s="90"/>
    </row>
    <row r="545" spans="1:10">
      <c r="A545" s="84"/>
      <c r="B545" s="93"/>
      <c r="C545" s="88"/>
      <c r="D545" s="107"/>
      <c r="E545" s="105"/>
      <c r="F545" s="105"/>
      <c r="G545" s="89"/>
      <c r="H545" s="95"/>
      <c r="I545" s="97"/>
      <c r="J545" s="90"/>
    </row>
    <row r="546" spans="1:10">
      <c r="A546" s="84"/>
      <c r="B546" s="93"/>
      <c r="C546" s="88"/>
      <c r="D546" s="107"/>
      <c r="E546" s="105"/>
      <c r="F546" s="105"/>
      <c r="G546" s="89"/>
      <c r="H546" s="95"/>
      <c r="I546" s="97"/>
      <c r="J546" s="90"/>
    </row>
    <row r="547" spans="1:10">
      <c r="A547" s="84"/>
      <c r="B547" s="93"/>
      <c r="C547" s="88"/>
      <c r="D547" s="107"/>
      <c r="E547" s="105"/>
      <c r="F547" s="105"/>
      <c r="G547" s="89"/>
      <c r="H547" s="95"/>
      <c r="I547" s="97"/>
      <c r="J547" s="90"/>
    </row>
    <row r="548" spans="1:10">
      <c r="A548" s="84"/>
      <c r="B548" s="93"/>
      <c r="C548" s="88"/>
      <c r="D548" s="107"/>
      <c r="E548" s="105"/>
      <c r="F548" s="105"/>
      <c r="G548" s="89"/>
      <c r="H548" s="95"/>
      <c r="I548" s="97"/>
      <c r="J548" s="90"/>
    </row>
    <row r="549" spans="1:10">
      <c r="A549" s="84"/>
      <c r="B549" s="93"/>
      <c r="C549" s="88"/>
      <c r="D549" s="107"/>
      <c r="E549" s="105"/>
      <c r="F549" s="105"/>
      <c r="G549" s="89"/>
      <c r="H549" s="95"/>
      <c r="I549" s="97"/>
      <c r="J549" s="90"/>
    </row>
    <row r="550" spans="1:10">
      <c r="A550" s="84"/>
      <c r="B550" s="93"/>
      <c r="C550" s="88"/>
      <c r="D550" s="107"/>
      <c r="E550" s="105"/>
      <c r="F550" s="105"/>
      <c r="G550" s="89"/>
      <c r="H550" s="95"/>
      <c r="I550" s="97"/>
      <c r="J550" s="90"/>
    </row>
    <row r="551" spans="1:10">
      <c r="A551" s="84"/>
      <c r="B551" s="93"/>
      <c r="C551" s="88"/>
      <c r="D551" s="107"/>
      <c r="E551" s="105"/>
      <c r="F551" s="105"/>
      <c r="G551" s="89"/>
      <c r="H551" s="95"/>
      <c r="I551" s="97"/>
      <c r="J551" s="90"/>
    </row>
    <row r="552" spans="1:10">
      <c r="A552" s="84"/>
      <c r="B552" s="93"/>
      <c r="C552" s="88"/>
      <c r="D552" s="107"/>
      <c r="E552" s="105"/>
      <c r="F552" s="105"/>
      <c r="G552" s="89"/>
      <c r="H552" s="95"/>
      <c r="I552" s="97"/>
      <c r="J552" s="90"/>
    </row>
    <row r="553" spans="1:10">
      <c r="A553" s="84"/>
      <c r="B553" s="93"/>
      <c r="C553" s="88"/>
      <c r="D553" s="107"/>
      <c r="E553" s="105"/>
      <c r="F553" s="105"/>
      <c r="G553" s="89"/>
      <c r="H553" s="95"/>
      <c r="I553" s="97"/>
      <c r="J553" s="90"/>
    </row>
    <row r="554" spans="1:10">
      <c r="A554" s="84"/>
      <c r="B554" s="93"/>
      <c r="C554" s="88"/>
      <c r="D554" s="107"/>
      <c r="E554" s="105"/>
      <c r="F554" s="105"/>
      <c r="G554" s="89"/>
      <c r="H554" s="95"/>
      <c r="I554" s="97"/>
      <c r="J554" s="90"/>
    </row>
    <row r="555" spans="1:10">
      <c r="A555" s="84"/>
      <c r="B555" s="93"/>
      <c r="C555" s="88"/>
      <c r="D555" s="107"/>
      <c r="E555" s="105"/>
      <c r="F555" s="105"/>
      <c r="G555" s="89"/>
      <c r="H555" s="95"/>
      <c r="I555" s="97"/>
      <c r="J555" s="90"/>
    </row>
    <row r="556" spans="1:10">
      <c r="A556" s="84"/>
      <c r="B556" s="93"/>
      <c r="C556" s="88"/>
      <c r="D556" s="107"/>
      <c r="E556" s="105"/>
      <c r="F556" s="105"/>
      <c r="G556" s="89"/>
      <c r="H556" s="95"/>
      <c r="I556" s="97"/>
      <c r="J556" s="90"/>
    </row>
    <row r="557" spans="1:10">
      <c r="A557" s="84"/>
      <c r="B557" s="93"/>
      <c r="C557" s="88"/>
      <c r="D557" s="107"/>
      <c r="E557" s="105"/>
      <c r="F557" s="105"/>
      <c r="G557" s="89"/>
      <c r="H557" s="95"/>
      <c r="I557" s="97"/>
      <c r="J557" s="90"/>
    </row>
    <row r="558" spans="1:10">
      <c r="A558" s="84"/>
      <c r="B558" s="93"/>
      <c r="C558" s="88"/>
      <c r="D558" s="107"/>
      <c r="E558" s="105"/>
      <c r="F558" s="105"/>
      <c r="G558" s="89"/>
      <c r="H558" s="95"/>
      <c r="I558" s="97"/>
      <c r="J558" s="90"/>
    </row>
    <row r="559" spans="1:10">
      <c r="A559" s="84"/>
      <c r="B559" s="93"/>
      <c r="C559" s="88"/>
      <c r="D559" s="107"/>
      <c r="E559" s="105"/>
      <c r="F559" s="105"/>
      <c r="G559" s="89"/>
      <c r="H559" s="95"/>
      <c r="I559" s="97"/>
      <c r="J559" s="90"/>
    </row>
    <row r="560" spans="1:10">
      <c r="A560" s="84"/>
      <c r="B560" s="93"/>
      <c r="C560" s="88"/>
      <c r="D560" s="107"/>
      <c r="E560" s="105"/>
      <c r="F560" s="105"/>
      <c r="G560" s="89"/>
      <c r="H560" s="95"/>
      <c r="I560" s="97"/>
      <c r="J560" s="90"/>
    </row>
    <row r="561" spans="1:10">
      <c r="A561" s="84"/>
      <c r="B561" s="93"/>
      <c r="C561" s="88"/>
      <c r="D561" s="107"/>
      <c r="E561" s="105"/>
      <c r="F561" s="105"/>
      <c r="G561" s="89"/>
      <c r="H561" s="95"/>
      <c r="I561" s="97"/>
      <c r="J561" s="90"/>
    </row>
    <row r="562" spans="1:10">
      <c r="A562" s="84"/>
      <c r="B562" s="93"/>
      <c r="C562" s="88"/>
      <c r="D562" s="107"/>
      <c r="E562" s="105"/>
      <c r="F562" s="105"/>
      <c r="G562" s="89"/>
      <c r="H562" s="95"/>
      <c r="I562" s="97"/>
      <c r="J562" s="90"/>
    </row>
    <row r="563" spans="1:10">
      <c r="A563" s="84"/>
      <c r="B563" s="93"/>
      <c r="C563" s="88"/>
      <c r="D563" s="107"/>
      <c r="E563" s="105"/>
      <c r="F563" s="105"/>
      <c r="G563" s="89"/>
      <c r="H563" s="95"/>
      <c r="I563" s="97"/>
      <c r="J563" s="90"/>
    </row>
    <row r="564" spans="1:10">
      <c r="A564" s="84"/>
      <c r="B564" s="93"/>
      <c r="C564" s="88"/>
      <c r="D564" s="107"/>
      <c r="E564" s="105"/>
      <c r="F564" s="105"/>
      <c r="G564" s="89"/>
      <c r="H564" s="95"/>
      <c r="I564" s="97"/>
      <c r="J564" s="90"/>
    </row>
    <row r="565" spans="1:10">
      <c r="A565" s="84"/>
      <c r="B565" s="93"/>
      <c r="C565" s="88"/>
      <c r="D565" s="107"/>
      <c r="E565" s="105"/>
      <c r="F565" s="105"/>
      <c r="G565" s="89"/>
      <c r="H565" s="95"/>
      <c r="I565" s="97"/>
      <c r="J565" s="90"/>
    </row>
    <row r="566" spans="1:10">
      <c r="A566" s="84"/>
      <c r="B566" s="93"/>
      <c r="C566" s="88"/>
      <c r="D566" s="107"/>
      <c r="E566" s="105"/>
      <c r="F566" s="105"/>
      <c r="G566" s="89"/>
      <c r="H566" s="95"/>
      <c r="I566" s="97"/>
      <c r="J566" s="90"/>
    </row>
    <row r="567" spans="1:10">
      <c r="A567" s="84"/>
      <c r="B567" s="93"/>
      <c r="C567" s="88"/>
      <c r="D567" s="107"/>
      <c r="E567" s="105"/>
      <c r="F567" s="105"/>
      <c r="G567" s="89"/>
      <c r="H567" s="95"/>
      <c r="I567" s="97"/>
      <c r="J567" s="90"/>
    </row>
    <row r="568" spans="1:10">
      <c r="A568" s="84"/>
      <c r="B568" s="93"/>
      <c r="C568" s="88"/>
      <c r="D568" s="107"/>
      <c r="E568" s="105"/>
      <c r="F568" s="105"/>
      <c r="G568" s="89"/>
      <c r="H568" s="95"/>
      <c r="I568" s="97"/>
      <c r="J568" s="90"/>
    </row>
    <row r="569" spans="1:10">
      <c r="A569" s="84"/>
      <c r="B569" s="93"/>
      <c r="C569" s="88"/>
      <c r="D569" s="107"/>
      <c r="E569" s="105"/>
      <c r="F569" s="105"/>
      <c r="G569" s="89"/>
      <c r="H569" s="95"/>
      <c r="I569" s="97"/>
      <c r="J569" s="90"/>
    </row>
    <row r="570" spans="1:10">
      <c r="A570" s="84"/>
      <c r="B570" s="93"/>
      <c r="C570" s="88"/>
      <c r="D570" s="107"/>
      <c r="E570" s="105"/>
      <c r="F570" s="105"/>
      <c r="G570" s="89"/>
      <c r="H570" s="95"/>
      <c r="I570" s="97"/>
      <c r="J570" s="90"/>
    </row>
    <row r="571" spans="1:10">
      <c r="A571" s="84"/>
      <c r="B571" s="93"/>
      <c r="C571" s="88"/>
      <c r="D571" s="107"/>
      <c r="E571" s="105"/>
      <c r="F571" s="105"/>
      <c r="G571" s="89"/>
      <c r="H571" s="95"/>
      <c r="I571" s="97"/>
      <c r="J571" s="90"/>
    </row>
    <row r="572" spans="1:10">
      <c r="A572" s="84"/>
      <c r="B572" s="93"/>
      <c r="C572" s="88"/>
      <c r="D572" s="107"/>
      <c r="E572" s="105"/>
      <c r="F572" s="105"/>
      <c r="G572" s="89"/>
      <c r="H572" s="95"/>
      <c r="I572" s="97"/>
      <c r="J572" s="90"/>
    </row>
    <row r="573" spans="1:10">
      <c r="A573" s="84"/>
      <c r="B573" s="93"/>
      <c r="C573" s="88"/>
      <c r="D573" s="107"/>
      <c r="E573" s="105"/>
      <c r="F573" s="105"/>
      <c r="G573" s="89"/>
      <c r="H573" s="95"/>
      <c r="I573" s="97"/>
      <c r="J573" s="90"/>
    </row>
    <row r="574" spans="1:10">
      <c r="A574" s="84"/>
      <c r="B574" s="93"/>
      <c r="C574" s="88"/>
      <c r="D574" s="107"/>
      <c r="E574" s="105"/>
      <c r="F574" s="105"/>
      <c r="G574" s="89"/>
      <c r="H574" s="95"/>
      <c r="I574" s="97"/>
      <c r="J574" s="90"/>
    </row>
    <row r="575" spans="1:10">
      <c r="A575" s="84"/>
      <c r="B575" s="93"/>
      <c r="C575" s="88"/>
      <c r="D575" s="107"/>
      <c r="E575" s="105"/>
      <c r="F575" s="105"/>
      <c r="G575" s="89"/>
      <c r="H575" s="95"/>
      <c r="I575" s="97"/>
      <c r="J575" s="90"/>
    </row>
    <row r="576" spans="1:10">
      <c r="A576" s="84"/>
      <c r="B576" s="93"/>
      <c r="C576" s="88"/>
      <c r="D576" s="107"/>
      <c r="E576" s="105"/>
      <c r="F576" s="105"/>
      <c r="G576" s="89"/>
      <c r="H576" s="95"/>
      <c r="I576" s="97"/>
      <c r="J576" s="90"/>
    </row>
    <row r="577" spans="1:10">
      <c r="A577" s="84"/>
      <c r="B577" s="93"/>
      <c r="C577" s="88"/>
      <c r="D577" s="107"/>
      <c r="E577" s="105"/>
      <c r="F577" s="105"/>
      <c r="G577" s="89"/>
      <c r="H577" s="95"/>
      <c r="I577" s="97"/>
      <c r="J577" s="90"/>
    </row>
    <row r="578" spans="1:10">
      <c r="A578" s="84"/>
      <c r="B578" s="93"/>
      <c r="C578" s="88"/>
      <c r="D578" s="107"/>
      <c r="E578" s="105"/>
      <c r="F578" s="105"/>
      <c r="G578" s="89"/>
      <c r="H578" s="95"/>
      <c r="I578" s="97"/>
      <c r="J578" s="90"/>
    </row>
    <row r="579" spans="1:10">
      <c r="A579" s="84"/>
      <c r="B579" s="93"/>
      <c r="C579" s="88"/>
      <c r="D579" s="107"/>
      <c r="E579" s="105"/>
      <c r="F579" s="105"/>
      <c r="G579" s="89"/>
      <c r="H579" s="95"/>
      <c r="I579" s="97"/>
      <c r="J579" s="90"/>
    </row>
    <row r="580" spans="1:10">
      <c r="A580" s="84"/>
      <c r="B580" s="93"/>
      <c r="C580" s="88"/>
      <c r="D580" s="107"/>
      <c r="E580" s="105"/>
      <c r="F580" s="105"/>
      <c r="G580" s="89"/>
      <c r="H580" s="95"/>
      <c r="I580" s="97"/>
      <c r="J580" s="90"/>
    </row>
    <row r="581" spans="1:10">
      <c r="A581" s="84"/>
      <c r="B581" s="93"/>
      <c r="C581" s="88"/>
      <c r="D581" s="107"/>
      <c r="E581" s="105"/>
      <c r="F581" s="105"/>
      <c r="G581" s="89"/>
      <c r="H581" s="95"/>
      <c r="I581" s="97"/>
      <c r="J581" s="90"/>
    </row>
    <row r="582" spans="1:10">
      <c r="A582" s="84"/>
      <c r="B582" s="93"/>
      <c r="C582" s="88"/>
      <c r="D582" s="107"/>
      <c r="E582" s="105"/>
      <c r="F582" s="105"/>
      <c r="G582" s="89"/>
      <c r="H582" s="95"/>
      <c r="I582" s="97"/>
      <c r="J582" s="90"/>
    </row>
    <row r="583" spans="1:10">
      <c r="A583" s="84"/>
      <c r="B583" s="93"/>
      <c r="C583" s="88"/>
      <c r="D583" s="107"/>
      <c r="E583" s="105"/>
      <c r="F583" s="105"/>
      <c r="G583" s="89"/>
      <c r="H583" s="95"/>
      <c r="I583" s="97"/>
      <c r="J583" s="90"/>
    </row>
    <row r="584" spans="1:10">
      <c r="A584" s="84"/>
      <c r="B584" s="93"/>
      <c r="C584" s="88"/>
      <c r="D584" s="107"/>
      <c r="E584" s="105"/>
      <c r="F584" s="105"/>
      <c r="G584" s="89"/>
      <c r="H584" s="95"/>
      <c r="I584" s="97"/>
      <c r="J584" s="90"/>
    </row>
    <row r="585" spans="1:10">
      <c r="A585" s="84"/>
      <c r="B585" s="93"/>
      <c r="C585" s="88"/>
      <c r="D585" s="107"/>
      <c r="E585" s="105"/>
      <c r="F585" s="105"/>
      <c r="G585" s="89"/>
      <c r="H585" s="95"/>
      <c r="I585" s="97"/>
      <c r="J585" s="90"/>
    </row>
    <row r="586" spans="1:10">
      <c r="A586" s="84"/>
      <c r="B586" s="93"/>
      <c r="C586" s="88"/>
      <c r="D586" s="107"/>
      <c r="E586" s="105"/>
      <c r="F586" s="105"/>
      <c r="G586" s="89"/>
      <c r="H586" s="95"/>
      <c r="I586" s="97"/>
      <c r="J586" s="90"/>
    </row>
    <row r="587" spans="1:10">
      <c r="A587" s="84"/>
      <c r="B587" s="93"/>
      <c r="C587" s="88"/>
      <c r="D587" s="107"/>
      <c r="E587" s="105"/>
      <c r="F587" s="105"/>
      <c r="G587" s="89"/>
      <c r="H587" s="95"/>
      <c r="I587" s="97"/>
      <c r="J587" s="90"/>
    </row>
    <row r="588" spans="1:10">
      <c r="A588" s="84"/>
      <c r="B588" s="93"/>
      <c r="C588" s="88"/>
      <c r="D588" s="107"/>
      <c r="E588" s="105"/>
      <c r="F588" s="105"/>
      <c r="G588" s="89"/>
      <c r="H588" s="95"/>
      <c r="I588" s="97"/>
      <c r="J588" s="90"/>
    </row>
    <row r="589" spans="1:10">
      <c r="A589" s="84"/>
      <c r="B589" s="93"/>
      <c r="C589" s="88"/>
      <c r="D589" s="107"/>
      <c r="E589" s="105"/>
      <c r="F589" s="105"/>
      <c r="G589" s="89"/>
      <c r="H589" s="95"/>
      <c r="I589" s="97"/>
      <c r="J589" s="90"/>
    </row>
    <row r="590" spans="1:10">
      <c r="A590" s="84"/>
      <c r="B590" s="93"/>
      <c r="C590" s="88"/>
      <c r="D590" s="107"/>
      <c r="E590" s="105"/>
      <c r="F590" s="105"/>
      <c r="G590" s="89"/>
      <c r="H590" s="95"/>
      <c r="I590" s="97"/>
      <c r="J590" s="90"/>
    </row>
    <row r="591" spans="1:10">
      <c r="A591" s="84"/>
      <c r="B591" s="93"/>
      <c r="C591" s="88"/>
      <c r="D591" s="107"/>
      <c r="E591" s="105"/>
      <c r="F591" s="105"/>
      <c r="G591" s="89"/>
      <c r="H591" s="95"/>
      <c r="I591" s="97"/>
      <c r="J591" s="90"/>
    </row>
    <row r="592" spans="1:10">
      <c r="A592" s="84"/>
      <c r="B592" s="93"/>
      <c r="C592" s="88"/>
      <c r="D592" s="107"/>
      <c r="E592" s="105"/>
      <c r="F592" s="105"/>
      <c r="G592" s="89"/>
      <c r="H592" s="95"/>
      <c r="I592" s="97"/>
      <c r="J592" s="90"/>
    </row>
    <row r="593" spans="1:10">
      <c r="A593" s="84"/>
      <c r="B593" s="93"/>
      <c r="C593" s="88"/>
      <c r="D593" s="107"/>
      <c r="E593" s="105"/>
      <c r="F593" s="105"/>
      <c r="G593" s="89"/>
      <c r="H593" s="95"/>
      <c r="I593" s="97"/>
      <c r="J593" s="90"/>
    </row>
    <row r="594" spans="1:10">
      <c r="A594" s="84"/>
      <c r="B594" s="93"/>
      <c r="C594" s="88"/>
      <c r="D594" s="107"/>
      <c r="E594" s="105"/>
      <c r="F594" s="105"/>
      <c r="G594" s="89"/>
      <c r="H594" s="95"/>
      <c r="I594" s="97"/>
      <c r="J594" s="90"/>
    </row>
    <row r="595" spans="1:10">
      <c r="A595" s="84"/>
      <c r="B595" s="93"/>
      <c r="C595" s="88"/>
      <c r="D595" s="107"/>
      <c r="E595" s="105"/>
      <c r="F595" s="105"/>
      <c r="G595" s="89"/>
      <c r="H595" s="95"/>
      <c r="I595" s="97"/>
      <c r="J595" s="90"/>
    </row>
    <row r="596" spans="1:10">
      <c r="A596" s="84"/>
      <c r="B596" s="93"/>
      <c r="C596" s="88"/>
      <c r="D596" s="107"/>
      <c r="E596" s="105"/>
      <c r="F596" s="105"/>
      <c r="G596" s="89"/>
      <c r="H596" s="95"/>
      <c r="I596" s="97"/>
      <c r="J596" s="90"/>
    </row>
    <row r="597" spans="1:10">
      <c r="A597" s="84"/>
      <c r="B597" s="93"/>
      <c r="C597" s="88"/>
      <c r="D597" s="107"/>
      <c r="E597" s="105"/>
      <c r="F597" s="105"/>
      <c r="G597" s="89"/>
      <c r="H597" s="95"/>
      <c r="I597" s="97"/>
      <c r="J597" s="90"/>
    </row>
    <row r="598" spans="1:10">
      <c r="A598" s="84"/>
      <c r="B598" s="93"/>
      <c r="C598" s="88"/>
      <c r="D598" s="107"/>
      <c r="E598" s="105"/>
      <c r="F598" s="105"/>
      <c r="G598" s="89"/>
      <c r="H598" s="95"/>
      <c r="I598" s="97"/>
      <c r="J598" s="90"/>
    </row>
    <row r="599" spans="1:10">
      <c r="A599" s="84"/>
      <c r="B599" s="93"/>
      <c r="C599" s="88"/>
      <c r="D599" s="107"/>
      <c r="E599" s="105"/>
      <c r="F599" s="105"/>
      <c r="G599" s="89"/>
      <c r="H599" s="95"/>
      <c r="I599" s="97"/>
      <c r="J599" s="90"/>
    </row>
    <row r="600" spans="1:10">
      <c r="A600" s="84"/>
      <c r="B600" s="93"/>
      <c r="C600" s="88"/>
      <c r="D600" s="107"/>
      <c r="E600" s="105"/>
      <c r="F600" s="105"/>
      <c r="G600" s="89"/>
      <c r="H600" s="95"/>
      <c r="I600" s="97"/>
      <c r="J600" s="90"/>
    </row>
    <row r="601" spans="1:10">
      <c r="A601" s="84"/>
      <c r="B601" s="93"/>
      <c r="C601" s="88"/>
      <c r="D601" s="107"/>
      <c r="E601" s="105"/>
      <c r="F601" s="105"/>
      <c r="G601" s="89"/>
      <c r="H601" s="95"/>
      <c r="I601" s="97"/>
      <c r="J601" s="90"/>
    </row>
    <row r="602" spans="1:10">
      <c r="A602" s="84"/>
      <c r="B602" s="93"/>
      <c r="C602" s="88"/>
      <c r="D602" s="107"/>
      <c r="E602" s="105"/>
      <c r="F602" s="105"/>
      <c r="G602" s="89"/>
      <c r="H602" s="95"/>
      <c r="I602" s="97"/>
      <c r="J602" s="90"/>
    </row>
    <row r="603" spans="1:10">
      <c r="A603" s="84"/>
      <c r="B603" s="93"/>
      <c r="C603" s="88"/>
      <c r="D603" s="107"/>
      <c r="E603" s="105"/>
      <c r="F603" s="105"/>
      <c r="G603" s="89"/>
      <c r="H603" s="95"/>
      <c r="I603" s="97"/>
      <c r="J603" s="90"/>
    </row>
    <row r="604" spans="1:10">
      <c r="A604" s="84"/>
      <c r="B604" s="93"/>
      <c r="C604" s="88"/>
      <c r="D604" s="107"/>
      <c r="E604" s="105"/>
      <c r="F604" s="105"/>
      <c r="G604" s="89"/>
      <c r="H604" s="95"/>
      <c r="I604" s="97"/>
      <c r="J604" s="90"/>
    </row>
    <row r="605" spans="1:10">
      <c r="A605" s="84"/>
      <c r="B605" s="93"/>
      <c r="C605" s="88"/>
      <c r="D605" s="107"/>
      <c r="E605" s="105"/>
      <c r="F605" s="105"/>
      <c r="G605" s="89"/>
      <c r="H605" s="95"/>
      <c r="I605" s="97"/>
      <c r="J605" s="90"/>
    </row>
    <row r="606" spans="1:10">
      <c r="A606" s="84"/>
      <c r="B606" s="93"/>
      <c r="C606" s="88"/>
      <c r="D606" s="107"/>
      <c r="E606" s="105"/>
      <c r="F606" s="105"/>
      <c r="G606" s="89"/>
      <c r="H606" s="95"/>
      <c r="I606" s="97"/>
      <c r="J606" s="90"/>
    </row>
    <row r="607" spans="1:10">
      <c r="A607" s="84"/>
      <c r="B607" s="93"/>
      <c r="C607" s="88"/>
      <c r="D607" s="107"/>
      <c r="E607" s="105"/>
      <c r="F607" s="105"/>
      <c r="G607" s="89"/>
      <c r="H607" s="95"/>
      <c r="I607" s="97"/>
      <c r="J607" s="90"/>
    </row>
    <row r="608" spans="1:10">
      <c r="A608" s="84"/>
      <c r="B608" s="93"/>
      <c r="C608" s="88"/>
      <c r="D608" s="107"/>
      <c r="E608" s="105"/>
      <c r="F608" s="105"/>
      <c r="G608" s="89"/>
      <c r="H608" s="95"/>
      <c r="I608" s="97"/>
      <c r="J608" s="90"/>
    </row>
    <row r="609" spans="1:10">
      <c r="A609" s="84"/>
      <c r="B609" s="93"/>
      <c r="C609" s="88"/>
      <c r="D609" s="107"/>
      <c r="E609" s="105"/>
      <c r="F609" s="105"/>
      <c r="G609" s="89"/>
      <c r="H609" s="95"/>
      <c r="I609" s="97"/>
      <c r="J609" s="90"/>
    </row>
    <row r="610" spans="1:10">
      <c r="A610" s="84"/>
      <c r="B610" s="93"/>
      <c r="C610" s="88"/>
      <c r="D610" s="107"/>
      <c r="E610" s="105"/>
      <c r="F610" s="105"/>
      <c r="G610" s="89"/>
      <c r="H610" s="95"/>
      <c r="I610" s="97"/>
      <c r="J610" s="90"/>
    </row>
    <row r="611" spans="1:10">
      <c r="A611" s="84"/>
      <c r="B611" s="93"/>
      <c r="C611" s="88"/>
      <c r="D611" s="107"/>
      <c r="E611" s="105"/>
      <c r="F611" s="105"/>
      <c r="G611" s="89"/>
      <c r="H611" s="95"/>
      <c r="I611" s="97"/>
      <c r="J611" s="90"/>
    </row>
    <row r="612" spans="1:10">
      <c r="A612" s="84"/>
      <c r="B612" s="93"/>
      <c r="C612" s="88"/>
      <c r="D612" s="107"/>
      <c r="E612" s="105"/>
      <c r="F612" s="105"/>
      <c r="G612" s="89"/>
      <c r="H612" s="95"/>
      <c r="I612" s="97"/>
      <c r="J612" s="90"/>
    </row>
    <row r="613" spans="1:10">
      <c r="A613" s="84"/>
      <c r="B613" s="93"/>
      <c r="C613" s="88"/>
      <c r="D613" s="107"/>
      <c r="E613" s="105"/>
      <c r="F613" s="105"/>
      <c r="G613" s="89"/>
      <c r="H613" s="95"/>
      <c r="I613" s="97"/>
      <c r="J613" s="90"/>
    </row>
    <row r="614" spans="1:10">
      <c r="A614" s="84"/>
      <c r="B614" s="93"/>
      <c r="C614" s="88"/>
      <c r="D614" s="107"/>
      <c r="E614" s="105"/>
      <c r="F614" s="105"/>
      <c r="G614" s="89"/>
      <c r="H614" s="95"/>
      <c r="I614" s="97"/>
      <c r="J614" s="90"/>
    </row>
    <row r="615" spans="1:10">
      <c r="A615" s="84"/>
      <c r="B615" s="93"/>
      <c r="C615" s="88"/>
      <c r="D615" s="107"/>
      <c r="E615" s="105"/>
      <c r="F615" s="105"/>
      <c r="G615" s="89"/>
      <c r="H615" s="95"/>
      <c r="I615" s="97"/>
      <c r="J615" s="90"/>
    </row>
    <row r="616" spans="1:10">
      <c r="A616" s="84"/>
      <c r="B616" s="93"/>
      <c r="C616" s="88"/>
      <c r="D616" s="107"/>
      <c r="E616" s="105"/>
      <c r="F616" s="105"/>
      <c r="G616" s="89"/>
      <c r="H616" s="95"/>
      <c r="I616" s="97"/>
      <c r="J616" s="90"/>
    </row>
    <row r="617" spans="1:10">
      <c r="A617" s="84"/>
      <c r="B617" s="93"/>
      <c r="C617" s="88"/>
      <c r="D617" s="107"/>
      <c r="E617" s="105"/>
      <c r="F617" s="105"/>
      <c r="G617" s="89"/>
      <c r="H617" s="95"/>
      <c r="I617" s="97"/>
      <c r="J617" s="90"/>
    </row>
    <row r="618" spans="1:10">
      <c r="A618" s="84"/>
      <c r="B618" s="93"/>
      <c r="C618" s="88"/>
      <c r="D618" s="107"/>
      <c r="E618" s="105"/>
      <c r="F618" s="105"/>
      <c r="G618" s="89"/>
      <c r="H618" s="95"/>
      <c r="I618" s="97"/>
      <c r="J618" s="90"/>
    </row>
    <row r="619" spans="1:10">
      <c r="A619" s="84"/>
      <c r="B619" s="93"/>
      <c r="C619" s="88"/>
      <c r="D619" s="107"/>
      <c r="E619" s="105"/>
      <c r="F619" s="105"/>
      <c r="G619" s="89"/>
      <c r="H619" s="95"/>
      <c r="I619" s="97"/>
      <c r="J619" s="90"/>
    </row>
    <row r="620" spans="1:10">
      <c r="A620" s="84"/>
      <c r="B620" s="93"/>
      <c r="C620" s="88"/>
      <c r="D620" s="107"/>
      <c r="E620" s="105"/>
      <c r="F620" s="105"/>
      <c r="G620" s="89"/>
      <c r="H620" s="95"/>
      <c r="I620" s="97"/>
      <c r="J620" s="90"/>
    </row>
    <row r="621" spans="1:10">
      <c r="A621" s="84"/>
      <c r="B621" s="93"/>
      <c r="C621" s="88"/>
      <c r="D621" s="107"/>
      <c r="E621" s="105"/>
      <c r="F621" s="105"/>
      <c r="G621" s="89"/>
      <c r="H621" s="95"/>
      <c r="I621" s="97"/>
      <c r="J621" s="90"/>
    </row>
    <row r="622" spans="1:10">
      <c r="A622" s="84"/>
      <c r="B622" s="93"/>
      <c r="C622" s="88"/>
      <c r="D622" s="107"/>
      <c r="E622" s="105"/>
      <c r="F622" s="105"/>
      <c r="G622" s="89"/>
      <c r="H622" s="95"/>
      <c r="I622" s="97"/>
      <c r="J622" s="90"/>
    </row>
    <row r="623" spans="1:10">
      <c r="A623" s="84"/>
      <c r="B623" s="93"/>
      <c r="C623" s="88"/>
      <c r="D623" s="107"/>
      <c r="E623" s="105"/>
      <c r="F623" s="105"/>
      <c r="G623" s="89"/>
      <c r="H623" s="95"/>
      <c r="I623" s="97"/>
      <c r="J623" s="90"/>
    </row>
    <row r="624" spans="1:10">
      <c r="A624" s="84"/>
      <c r="B624" s="93"/>
      <c r="C624" s="88"/>
      <c r="D624" s="107"/>
      <c r="E624" s="105"/>
      <c r="F624" s="105"/>
      <c r="G624" s="89"/>
      <c r="H624" s="95"/>
      <c r="I624" s="97"/>
      <c r="J624" s="90"/>
    </row>
    <row r="625" spans="1:10">
      <c r="A625" s="84"/>
      <c r="B625" s="93"/>
      <c r="C625" s="88"/>
      <c r="D625" s="107"/>
      <c r="E625" s="105"/>
      <c r="F625" s="105"/>
      <c r="G625" s="89"/>
      <c r="H625" s="95"/>
      <c r="I625" s="97"/>
      <c r="J625" s="90"/>
    </row>
    <row r="626" spans="1:10">
      <c r="A626" s="84"/>
      <c r="B626" s="93"/>
      <c r="C626" s="88"/>
      <c r="D626" s="107"/>
      <c r="E626" s="105"/>
      <c r="F626" s="105"/>
      <c r="G626" s="89"/>
      <c r="H626" s="95"/>
      <c r="I626" s="97"/>
      <c r="J626" s="90"/>
    </row>
    <row r="627" spans="1:10">
      <c r="A627" s="84"/>
      <c r="B627" s="93"/>
      <c r="C627" s="88"/>
      <c r="D627" s="107"/>
      <c r="E627" s="105"/>
      <c r="F627" s="105"/>
      <c r="G627" s="89"/>
      <c r="H627" s="95"/>
      <c r="I627" s="97"/>
      <c r="J627" s="90"/>
    </row>
    <row r="628" spans="1:10">
      <c r="A628" s="84"/>
      <c r="B628" s="93"/>
      <c r="C628" s="88"/>
      <c r="D628" s="107"/>
      <c r="E628" s="105"/>
      <c r="F628" s="105"/>
      <c r="G628" s="89"/>
      <c r="H628" s="95"/>
      <c r="I628" s="97"/>
      <c r="J628" s="90"/>
    </row>
    <row r="629" spans="1:10">
      <c r="A629" s="84"/>
      <c r="B629" s="93"/>
      <c r="C629" s="88"/>
      <c r="D629" s="107"/>
      <c r="E629" s="105"/>
      <c r="F629" s="105"/>
      <c r="G629" s="89"/>
      <c r="H629" s="95"/>
      <c r="I629" s="97"/>
      <c r="J629" s="90"/>
    </row>
    <row r="630" spans="1:10">
      <c r="A630" s="84"/>
      <c r="B630" s="93"/>
      <c r="C630" s="88"/>
      <c r="D630" s="107"/>
      <c r="E630" s="105"/>
      <c r="F630" s="105"/>
      <c r="G630" s="89"/>
      <c r="H630" s="95"/>
      <c r="I630" s="97"/>
      <c r="J630" s="90"/>
    </row>
    <row r="631" spans="1:10">
      <c r="A631" s="84"/>
      <c r="B631" s="93"/>
      <c r="C631" s="88"/>
      <c r="D631" s="107"/>
      <c r="E631" s="105"/>
      <c r="F631" s="105"/>
      <c r="G631" s="89"/>
      <c r="H631" s="95"/>
      <c r="I631" s="97"/>
      <c r="J631" s="90"/>
    </row>
    <row r="632" spans="1:10">
      <c r="A632" s="84"/>
      <c r="B632" s="93"/>
      <c r="C632" s="88"/>
      <c r="D632" s="107"/>
      <c r="E632" s="105"/>
      <c r="F632" s="105"/>
      <c r="G632" s="89"/>
      <c r="H632" s="95"/>
      <c r="I632" s="97"/>
      <c r="J632" s="90"/>
    </row>
    <row r="633" spans="1:10">
      <c r="A633" s="84"/>
      <c r="B633" s="93"/>
      <c r="C633" s="88"/>
      <c r="D633" s="107"/>
      <c r="E633" s="105"/>
      <c r="F633" s="105"/>
      <c r="G633" s="89"/>
      <c r="H633" s="95"/>
      <c r="I633" s="97"/>
      <c r="J633" s="90"/>
    </row>
    <row r="634" spans="1:10">
      <c r="A634" s="84"/>
      <c r="B634" s="93"/>
      <c r="C634" s="88"/>
      <c r="D634" s="107"/>
      <c r="E634" s="105"/>
      <c r="F634" s="105"/>
      <c r="G634" s="89"/>
      <c r="H634" s="95"/>
      <c r="I634" s="97"/>
      <c r="J634" s="90"/>
    </row>
    <row r="635" spans="1:10">
      <c r="A635" s="84"/>
      <c r="B635" s="93"/>
      <c r="C635" s="88"/>
      <c r="D635" s="107"/>
      <c r="E635" s="105"/>
      <c r="F635" s="105"/>
      <c r="G635" s="89"/>
      <c r="H635" s="95"/>
      <c r="I635" s="97"/>
      <c r="J635" s="90"/>
    </row>
    <row r="636" spans="1:10">
      <c r="A636" s="84"/>
      <c r="B636" s="93"/>
      <c r="C636" s="88"/>
      <c r="D636" s="107"/>
      <c r="E636" s="105"/>
      <c r="F636" s="105"/>
      <c r="G636" s="89"/>
      <c r="H636" s="95"/>
      <c r="I636" s="97"/>
      <c r="J636" s="90"/>
    </row>
    <row r="637" spans="1:10">
      <c r="A637" s="84"/>
      <c r="B637" s="93"/>
      <c r="C637" s="88"/>
      <c r="D637" s="107"/>
      <c r="E637" s="105"/>
      <c r="F637" s="105"/>
      <c r="G637" s="89"/>
      <c r="H637" s="95"/>
      <c r="I637" s="97"/>
      <c r="J637" s="90"/>
    </row>
    <row r="638" spans="1:10">
      <c r="A638" s="84"/>
      <c r="B638" s="93"/>
      <c r="C638" s="88"/>
      <c r="D638" s="107"/>
      <c r="E638" s="105"/>
      <c r="F638" s="105"/>
      <c r="G638" s="89"/>
      <c r="H638" s="95"/>
      <c r="I638" s="97"/>
      <c r="J638" s="90"/>
    </row>
    <row r="639" spans="1:10">
      <c r="A639" s="84"/>
      <c r="B639" s="93"/>
      <c r="C639" s="88"/>
      <c r="D639" s="107"/>
      <c r="E639" s="105"/>
      <c r="F639" s="105"/>
      <c r="G639" s="89"/>
      <c r="H639" s="95"/>
      <c r="I639" s="97"/>
      <c r="J639" s="90"/>
    </row>
    <row r="640" spans="1:10">
      <c r="A640" s="84"/>
      <c r="B640" s="93"/>
      <c r="C640" s="88"/>
      <c r="D640" s="107"/>
      <c r="E640" s="105"/>
      <c r="F640" s="105"/>
      <c r="G640" s="89"/>
      <c r="H640" s="95"/>
      <c r="I640" s="97"/>
      <c r="J640" s="90"/>
    </row>
    <row r="641" spans="1:10">
      <c r="A641" s="84"/>
      <c r="B641" s="93"/>
      <c r="C641" s="88"/>
      <c r="D641" s="107"/>
      <c r="E641" s="105"/>
      <c r="F641" s="105"/>
      <c r="G641" s="89"/>
      <c r="H641" s="95"/>
      <c r="I641" s="97"/>
      <c r="J641" s="90"/>
    </row>
    <row r="642" spans="1:10">
      <c r="A642" s="84"/>
      <c r="B642" s="93"/>
      <c r="C642" s="88"/>
      <c r="D642" s="107"/>
      <c r="E642" s="105"/>
      <c r="F642" s="105"/>
      <c r="G642" s="89"/>
      <c r="H642" s="95"/>
      <c r="I642" s="97"/>
      <c r="J642" s="90"/>
    </row>
    <row r="643" spans="1:10">
      <c r="A643" s="84"/>
      <c r="B643" s="93"/>
      <c r="C643" s="88"/>
      <c r="D643" s="107"/>
      <c r="E643" s="105"/>
      <c r="F643" s="105"/>
      <c r="G643" s="89"/>
      <c r="H643" s="95"/>
      <c r="I643" s="97"/>
      <c r="J643" s="90"/>
    </row>
    <row r="644" spans="1:10">
      <c r="A644" s="84"/>
      <c r="B644" s="93"/>
      <c r="C644" s="88"/>
      <c r="D644" s="107"/>
      <c r="E644" s="105"/>
      <c r="F644" s="105"/>
      <c r="G644" s="89"/>
      <c r="H644" s="95"/>
      <c r="I644" s="97"/>
      <c r="J644" s="90"/>
    </row>
    <row r="645" spans="1:10">
      <c r="A645" s="84"/>
      <c r="B645" s="93"/>
      <c r="C645" s="88"/>
      <c r="D645" s="107"/>
      <c r="E645" s="105"/>
      <c r="F645" s="105"/>
      <c r="G645" s="89"/>
      <c r="H645" s="95"/>
      <c r="I645" s="97"/>
      <c r="J645" s="90"/>
    </row>
    <row r="646" spans="1:10">
      <c r="A646" s="84"/>
      <c r="B646" s="93"/>
      <c r="C646" s="88"/>
      <c r="D646" s="107"/>
      <c r="E646" s="105"/>
      <c r="F646" s="105"/>
      <c r="G646" s="89"/>
      <c r="H646" s="95"/>
      <c r="I646" s="97"/>
      <c r="J646" s="90"/>
    </row>
    <row r="647" spans="1:10">
      <c r="A647" s="84"/>
      <c r="B647" s="93"/>
      <c r="C647" s="88"/>
      <c r="D647" s="107"/>
      <c r="E647" s="105"/>
      <c r="F647" s="105"/>
      <c r="G647" s="89"/>
      <c r="H647" s="95"/>
      <c r="I647" s="97"/>
      <c r="J647" s="90"/>
    </row>
    <row r="648" spans="1:10">
      <c r="A648" s="84"/>
      <c r="B648" s="93"/>
      <c r="C648" s="88"/>
      <c r="D648" s="107"/>
      <c r="E648" s="105"/>
      <c r="F648" s="105"/>
      <c r="G648" s="89"/>
      <c r="H648" s="95"/>
      <c r="I648" s="97"/>
      <c r="J648" s="90"/>
    </row>
    <row r="649" spans="1:10">
      <c r="A649" s="84"/>
      <c r="B649" s="93"/>
      <c r="C649" s="88"/>
      <c r="D649" s="107"/>
      <c r="E649" s="105"/>
      <c r="F649" s="105"/>
      <c r="G649" s="89"/>
      <c r="H649" s="95"/>
      <c r="I649" s="97"/>
      <c r="J649" s="90"/>
    </row>
    <row r="650" spans="1:10">
      <c r="A650" s="84"/>
      <c r="B650" s="93"/>
      <c r="C650" s="88"/>
      <c r="D650" s="107"/>
      <c r="E650" s="105"/>
      <c r="F650" s="105"/>
      <c r="G650" s="89"/>
      <c r="H650" s="95"/>
      <c r="I650" s="97"/>
      <c r="J650" s="90"/>
    </row>
    <row r="651" spans="1:10">
      <c r="A651" s="84"/>
      <c r="B651" s="93"/>
      <c r="C651" s="88"/>
      <c r="D651" s="107"/>
      <c r="E651" s="105"/>
      <c r="F651" s="105"/>
      <c r="G651" s="89"/>
      <c r="H651" s="95"/>
      <c r="I651" s="97"/>
      <c r="J651" s="90"/>
    </row>
    <row r="652" spans="1:10">
      <c r="A652" s="84"/>
      <c r="B652" s="93"/>
      <c r="C652" s="88"/>
      <c r="D652" s="107"/>
      <c r="E652" s="105"/>
      <c r="F652" s="105"/>
      <c r="G652" s="89"/>
      <c r="H652" s="95"/>
      <c r="I652" s="97"/>
      <c r="J652" s="90"/>
    </row>
    <row r="653" spans="1:10">
      <c r="A653" s="84"/>
      <c r="B653" s="93"/>
      <c r="C653" s="88"/>
      <c r="D653" s="107"/>
      <c r="E653" s="105"/>
      <c r="F653" s="105"/>
      <c r="G653" s="89"/>
      <c r="H653" s="95"/>
      <c r="I653" s="97"/>
      <c r="J653" s="90"/>
    </row>
    <row r="654" spans="1:10">
      <c r="A654" s="84"/>
      <c r="B654" s="93"/>
      <c r="C654" s="88"/>
      <c r="D654" s="107"/>
      <c r="E654" s="105"/>
      <c r="F654" s="105"/>
      <c r="G654" s="89"/>
      <c r="H654" s="95"/>
      <c r="I654" s="97"/>
      <c r="J654" s="90"/>
    </row>
    <row r="655" spans="1:10">
      <c r="A655" s="84"/>
      <c r="B655" s="93"/>
      <c r="C655" s="88"/>
      <c r="D655" s="107"/>
      <c r="E655" s="105"/>
      <c r="F655" s="105"/>
      <c r="G655" s="89"/>
      <c r="H655" s="95"/>
      <c r="I655" s="97"/>
      <c r="J655" s="90"/>
    </row>
    <row r="656" spans="1:10">
      <c r="A656" s="84"/>
      <c r="B656" s="93"/>
      <c r="C656" s="88"/>
      <c r="D656" s="107"/>
      <c r="E656" s="105"/>
      <c r="F656" s="105"/>
      <c r="G656" s="89"/>
      <c r="H656" s="95"/>
      <c r="I656" s="97"/>
      <c r="J656" s="90"/>
    </row>
    <row r="657" spans="1:10">
      <c r="A657" s="84"/>
      <c r="B657" s="93"/>
      <c r="C657" s="88"/>
      <c r="D657" s="107"/>
      <c r="E657" s="105"/>
      <c r="F657" s="105"/>
      <c r="G657" s="89"/>
      <c r="H657" s="95"/>
      <c r="I657" s="97"/>
      <c r="J657" s="90"/>
    </row>
    <row r="658" spans="1:10">
      <c r="A658" s="84"/>
      <c r="B658" s="93"/>
      <c r="C658" s="88"/>
      <c r="D658" s="107"/>
      <c r="E658" s="105"/>
      <c r="F658" s="105"/>
      <c r="G658" s="89"/>
      <c r="H658" s="95"/>
      <c r="I658" s="97"/>
      <c r="J658" s="90"/>
    </row>
    <row r="659" spans="1:10">
      <c r="A659" s="84"/>
      <c r="B659" s="93"/>
      <c r="C659" s="88"/>
      <c r="D659" s="107"/>
      <c r="E659" s="105"/>
      <c r="F659" s="105"/>
      <c r="G659" s="89"/>
      <c r="H659" s="95"/>
      <c r="I659" s="97"/>
      <c r="J659" s="90"/>
    </row>
    <row r="660" spans="1:10">
      <c r="A660" s="84"/>
      <c r="B660" s="93"/>
      <c r="C660" s="88"/>
      <c r="D660" s="107"/>
      <c r="E660" s="105"/>
      <c r="F660" s="105"/>
      <c r="G660" s="89"/>
      <c r="H660" s="95"/>
      <c r="I660" s="97"/>
      <c r="J660" s="90"/>
    </row>
    <row r="661" spans="1:10">
      <c r="A661" s="84"/>
      <c r="B661" s="93"/>
      <c r="C661" s="88"/>
      <c r="D661" s="107"/>
      <c r="E661" s="105"/>
      <c r="F661" s="105"/>
      <c r="G661" s="89"/>
      <c r="H661" s="95"/>
      <c r="I661" s="97"/>
      <c r="J661" s="90"/>
    </row>
    <row r="662" spans="1:10">
      <c r="A662" s="84"/>
      <c r="B662" s="93"/>
      <c r="C662" s="88"/>
      <c r="D662" s="107"/>
      <c r="E662" s="105"/>
      <c r="F662" s="105"/>
      <c r="G662" s="89"/>
      <c r="H662" s="95"/>
      <c r="I662" s="97"/>
      <c r="J662" s="90"/>
    </row>
    <row r="663" spans="1:10">
      <c r="A663" s="84"/>
      <c r="B663" s="93"/>
      <c r="C663" s="88"/>
      <c r="D663" s="107"/>
      <c r="E663" s="105"/>
      <c r="F663" s="105"/>
      <c r="G663" s="89"/>
      <c r="H663" s="95"/>
      <c r="I663" s="97"/>
      <c r="J663" s="90"/>
    </row>
    <row r="664" spans="1:10">
      <c r="A664" s="84"/>
      <c r="B664" s="93"/>
      <c r="C664" s="88"/>
      <c r="D664" s="107"/>
      <c r="E664" s="105"/>
      <c r="F664" s="105"/>
      <c r="G664" s="89"/>
      <c r="H664" s="95"/>
      <c r="I664" s="97"/>
      <c r="J664" s="90"/>
    </row>
    <row r="665" spans="1:10">
      <c r="A665" s="84"/>
      <c r="B665" s="93"/>
      <c r="C665" s="88"/>
      <c r="D665" s="107"/>
      <c r="E665" s="105"/>
      <c r="F665" s="105"/>
      <c r="G665" s="89"/>
      <c r="H665" s="95"/>
      <c r="I665" s="97"/>
      <c r="J665" s="90"/>
    </row>
    <row r="666" spans="1:10">
      <c r="A666" s="84"/>
      <c r="B666" s="93"/>
      <c r="C666" s="88"/>
      <c r="D666" s="107"/>
      <c r="E666" s="105"/>
      <c r="F666" s="105"/>
      <c r="G666" s="89"/>
      <c r="H666" s="95"/>
      <c r="I666" s="97"/>
      <c r="J666" s="90"/>
    </row>
    <row r="667" spans="1:10">
      <c r="A667" s="84"/>
      <c r="B667" s="93"/>
      <c r="C667" s="88"/>
      <c r="D667" s="107"/>
      <c r="E667" s="105"/>
      <c r="F667" s="105"/>
      <c r="G667" s="89"/>
      <c r="H667" s="95"/>
      <c r="I667" s="97"/>
      <c r="J667" s="90"/>
    </row>
    <row r="668" spans="1:10">
      <c r="A668" s="84"/>
      <c r="B668" s="93"/>
      <c r="C668" s="88"/>
      <c r="D668" s="107"/>
      <c r="E668" s="105"/>
      <c r="F668" s="105"/>
      <c r="G668" s="89"/>
      <c r="H668" s="95"/>
      <c r="I668" s="97"/>
      <c r="J668" s="90"/>
    </row>
    <row r="669" spans="1:10">
      <c r="A669" s="84"/>
      <c r="B669" s="93"/>
      <c r="C669" s="88"/>
      <c r="D669" s="107"/>
      <c r="E669" s="105"/>
      <c r="F669" s="105"/>
      <c r="G669" s="89"/>
      <c r="H669" s="95"/>
      <c r="I669" s="97"/>
      <c r="J669" s="90"/>
    </row>
    <row r="670" spans="1:10">
      <c r="A670" s="84"/>
      <c r="B670" s="93"/>
      <c r="C670" s="88"/>
      <c r="D670" s="107"/>
      <c r="E670" s="105"/>
      <c r="F670" s="105"/>
      <c r="G670" s="89"/>
      <c r="H670" s="95"/>
      <c r="I670" s="97"/>
      <c r="J670" s="90"/>
    </row>
    <row r="671" spans="1:10">
      <c r="A671" s="84"/>
      <c r="B671" s="93"/>
      <c r="C671" s="88"/>
      <c r="D671" s="107"/>
      <c r="E671" s="105"/>
      <c r="F671" s="105"/>
      <c r="G671" s="89"/>
      <c r="H671" s="95"/>
      <c r="I671" s="97"/>
      <c r="J671" s="90"/>
    </row>
    <row r="672" spans="1:10">
      <c r="A672" s="84"/>
      <c r="B672" s="93"/>
      <c r="C672" s="88"/>
      <c r="D672" s="107"/>
      <c r="E672" s="105"/>
      <c r="F672" s="105"/>
      <c r="G672" s="89"/>
      <c r="H672" s="95"/>
      <c r="I672" s="97"/>
      <c r="J672" s="90"/>
    </row>
    <row r="673" spans="1:10">
      <c r="A673" s="84"/>
      <c r="B673" s="93"/>
      <c r="C673" s="88"/>
      <c r="D673" s="107"/>
      <c r="E673" s="105"/>
      <c r="F673" s="105"/>
      <c r="G673" s="89"/>
      <c r="H673" s="95"/>
      <c r="I673" s="97"/>
      <c r="J673" s="90"/>
    </row>
    <row r="674" spans="1:10">
      <c r="A674" s="84"/>
      <c r="B674" s="93"/>
      <c r="C674" s="88"/>
      <c r="D674" s="107"/>
      <c r="E674" s="105"/>
      <c r="F674" s="105"/>
      <c r="G674" s="89"/>
      <c r="H674" s="95"/>
      <c r="I674" s="97"/>
      <c r="J674" s="90"/>
    </row>
    <row r="675" spans="1:10">
      <c r="A675" s="84"/>
      <c r="B675" s="93"/>
      <c r="C675" s="88"/>
      <c r="D675" s="107"/>
      <c r="E675" s="105"/>
      <c r="F675" s="105"/>
      <c r="G675" s="89"/>
      <c r="H675" s="95"/>
      <c r="I675" s="97"/>
      <c r="J675" s="90"/>
    </row>
    <row r="676" spans="1:10">
      <c r="A676" s="84"/>
      <c r="B676" s="93"/>
      <c r="C676" s="88"/>
      <c r="D676" s="107"/>
      <c r="E676" s="105"/>
      <c r="F676" s="105"/>
      <c r="G676" s="89"/>
      <c r="H676" s="95"/>
      <c r="I676" s="97"/>
      <c r="J676" s="90"/>
    </row>
    <row r="677" spans="1:10">
      <c r="A677" s="84"/>
      <c r="B677" s="93"/>
      <c r="C677" s="88"/>
      <c r="D677" s="107"/>
      <c r="E677" s="105"/>
      <c r="F677" s="105"/>
      <c r="G677" s="89"/>
      <c r="H677" s="95"/>
      <c r="I677" s="97"/>
      <c r="J677" s="90"/>
    </row>
    <row r="678" spans="1:10">
      <c r="A678" s="84"/>
      <c r="B678" s="93"/>
      <c r="C678" s="88"/>
      <c r="D678" s="107"/>
      <c r="E678" s="105"/>
      <c r="F678" s="105"/>
      <c r="G678" s="89"/>
      <c r="H678" s="95"/>
      <c r="I678" s="97"/>
      <c r="J678" s="90"/>
    </row>
    <row r="679" spans="1:10">
      <c r="A679" s="84"/>
      <c r="B679" s="93"/>
      <c r="C679" s="88"/>
      <c r="D679" s="107"/>
      <c r="E679" s="105"/>
      <c r="F679" s="105"/>
      <c r="G679" s="89"/>
      <c r="H679" s="95"/>
      <c r="I679" s="97"/>
      <c r="J679" s="90"/>
    </row>
    <row r="680" spans="1:10">
      <c r="A680" s="84"/>
      <c r="B680" s="93"/>
      <c r="C680" s="88"/>
      <c r="D680" s="107"/>
      <c r="E680" s="105"/>
      <c r="F680" s="105"/>
      <c r="G680" s="89"/>
      <c r="H680" s="95"/>
      <c r="I680" s="97"/>
      <c r="J680" s="90"/>
    </row>
    <row r="681" spans="1:10">
      <c r="A681" s="84"/>
      <c r="B681" s="93"/>
      <c r="C681" s="88"/>
      <c r="D681" s="107"/>
      <c r="E681" s="105"/>
      <c r="F681" s="105"/>
      <c r="G681" s="89"/>
      <c r="H681" s="95"/>
      <c r="I681" s="97"/>
      <c r="J681" s="90"/>
    </row>
    <row r="682" spans="1:10">
      <c r="A682" s="84"/>
      <c r="B682" s="93"/>
      <c r="C682" s="88"/>
      <c r="D682" s="107"/>
      <c r="E682" s="105"/>
      <c r="F682" s="105"/>
      <c r="G682" s="89"/>
      <c r="H682" s="95"/>
      <c r="I682" s="97"/>
      <c r="J682" s="90"/>
    </row>
    <row r="683" spans="1:10">
      <c r="A683" s="84"/>
      <c r="B683" s="93"/>
      <c r="C683" s="88"/>
      <c r="D683" s="107"/>
      <c r="E683" s="105"/>
      <c r="F683" s="105"/>
      <c r="G683" s="89"/>
      <c r="H683" s="95"/>
      <c r="I683" s="97"/>
      <c r="J683" s="90"/>
    </row>
    <row r="684" spans="1:10">
      <c r="A684" s="84"/>
      <c r="B684" s="93"/>
      <c r="C684" s="88"/>
      <c r="D684" s="107"/>
      <c r="E684" s="105"/>
      <c r="F684" s="105"/>
      <c r="G684" s="89"/>
      <c r="H684" s="95"/>
      <c r="I684" s="97"/>
      <c r="J684" s="90"/>
    </row>
    <row r="685" spans="1:10">
      <c r="A685" s="84"/>
      <c r="B685" s="93"/>
      <c r="C685" s="88"/>
      <c r="D685" s="107"/>
      <c r="E685" s="105"/>
      <c r="F685" s="105"/>
      <c r="G685" s="89"/>
      <c r="H685" s="95"/>
      <c r="I685" s="97"/>
      <c r="J685" s="90"/>
    </row>
    <row r="686" spans="1:10">
      <c r="A686" s="84"/>
      <c r="B686" s="93"/>
      <c r="C686" s="88"/>
      <c r="D686" s="107"/>
      <c r="E686" s="105"/>
      <c r="F686" s="105"/>
      <c r="G686" s="89"/>
      <c r="H686" s="95"/>
      <c r="I686" s="97"/>
      <c r="J686" s="90"/>
    </row>
    <row r="687" spans="1:10">
      <c r="A687" s="84"/>
      <c r="B687" s="93"/>
      <c r="C687" s="88"/>
      <c r="D687" s="107"/>
      <c r="E687" s="105"/>
      <c r="F687" s="105"/>
      <c r="G687" s="89"/>
      <c r="H687" s="95"/>
      <c r="I687" s="97"/>
      <c r="J687" s="90"/>
    </row>
    <row r="688" spans="1:10">
      <c r="A688" s="84"/>
      <c r="B688" s="93"/>
      <c r="C688" s="88"/>
      <c r="D688" s="107"/>
      <c r="E688" s="105"/>
      <c r="F688" s="105"/>
      <c r="G688" s="89"/>
      <c r="H688" s="95"/>
      <c r="I688" s="97"/>
      <c r="J688" s="90"/>
    </row>
    <row r="689" spans="1:10">
      <c r="A689" s="84"/>
      <c r="B689" s="93"/>
      <c r="C689" s="88"/>
      <c r="D689" s="107"/>
      <c r="E689" s="105"/>
      <c r="F689" s="105"/>
      <c r="G689" s="89"/>
      <c r="H689" s="95"/>
      <c r="I689" s="97"/>
      <c r="J689" s="90"/>
    </row>
    <row r="690" spans="1:10">
      <c r="A690" s="84"/>
      <c r="B690" s="93"/>
      <c r="C690" s="88"/>
      <c r="D690" s="107"/>
      <c r="E690" s="105"/>
      <c r="F690" s="105"/>
      <c r="G690" s="89"/>
      <c r="H690" s="95"/>
      <c r="I690" s="97"/>
      <c r="J690" s="90"/>
    </row>
  </sheetData>
  <mergeCells count="24">
    <mergeCell ref="B4:D4"/>
    <mergeCell ref="H9:H10"/>
    <mergeCell ref="A11:J11"/>
    <mergeCell ref="I9:I10"/>
    <mergeCell ref="A9:A10"/>
    <mergeCell ref="B9:B10"/>
    <mergeCell ref="C9:C10"/>
    <mergeCell ref="D9:G10"/>
    <mergeCell ref="A98:J98"/>
    <mergeCell ref="A103:J103"/>
    <mergeCell ref="A48:J48"/>
    <mergeCell ref="B1:D2"/>
    <mergeCell ref="A8:D8"/>
    <mergeCell ref="B5:D5"/>
    <mergeCell ref="A79:J79"/>
    <mergeCell ref="A90:J90"/>
    <mergeCell ref="A12:J12"/>
    <mergeCell ref="H5:J5"/>
    <mergeCell ref="H6:J6"/>
    <mergeCell ref="H7:J7"/>
    <mergeCell ref="B3:D3"/>
    <mergeCell ref="H4:J4"/>
    <mergeCell ref="J9:J10"/>
    <mergeCell ref="H3:J3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E12" sqref="E12"/>
    </sheetView>
  </sheetViews>
  <sheetFormatPr defaultRowHeight="12.75"/>
  <cols>
    <col min="3" max="3" width="22.9296875" customWidth="1"/>
    <col min="7" max="7" width="18.9296875" customWidth="1"/>
  </cols>
  <sheetData>
    <row r="1" spans="1:7" ht="22.15">
      <c r="A1" s="14" t="s">
        <v>8</v>
      </c>
      <c r="B1" s="15"/>
      <c r="C1" s="16"/>
      <c r="D1" s="16"/>
      <c r="E1" s="16"/>
      <c r="F1" s="16"/>
      <c r="G1" s="17"/>
    </row>
    <row r="2" spans="1:7" ht="14.25" customHeight="1">
      <c r="A2" s="14"/>
      <c r="B2" s="15"/>
      <c r="C2" s="16"/>
      <c r="D2" s="16"/>
      <c r="E2" s="16"/>
      <c r="F2" s="16"/>
      <c r="G2" s="17"/>
    </row>
    <row r="3" spans="1:7" ht="13.5">
      <c r="B3" s="18" t="s">
        <v>7</v>
      </c>
      <c r="C3" s="16"/>
      <c r="D3" s="16"/>
      <c r="E3" s="16"/>
      <c r="F3" s="16"/>
      <c r="G3" s="17"/>
    </row>
    <row r="4" spans="1:7" ht="13.5">
      <c r="B4" s="18" t="s">
        <v>1</v>
      </c>
      <c r="C4" s="100"/>
      <c r="D4" s="18"/>
      <c r="E4" s="18"/>
      <c r="F4" s="18"/>
      <c r="G4" s="18"/>
    </row>
    <row r="5" spans="1:7" ht="13.5">
      <c r="A5" s="18"/>
      <c r="B5" s="18"/>
      <c r="C5" s="18"/>
      <c r="D5" s="18"/>
      <c r="E5" s="18"/>
      <c r="F5" s="18"/>
      <c r="G5" s="18"/>
    </row>
    <row r="6" spans="1:7" ht="13.5">
      <c r="A6" s="18"/>
      <c r="B6" s="18"/>
      <c r="C6" s="18"/>
      <c r="D6" s="18"/>
      <c r="E6" s="18"/>
      <c r="F6" s="18"/>
      <c r="G6" s="18"/>
    </row>
    <row r="7" spans="1:7" ht="25.5">
      <c r="A7" s="19"/>
      <c r="B7" s="54" t="s">
        <v>14</v>
      </c>
      <c r="C7" s="55" t="s">
        <v>15</v>
      </c>
      <c r="D7" s="56" t="s">
        <v>34</v>
      </c>
      <c r="E7" s="55" t="s">
        <v>0</v>
      </c>
      <c r="F7" s="55" t="s">
        <v>35</v>
      </c>
      <c r="G7" s="57" t="s">
        <v>16</v>
      </c>
    </row>
    <row r="8" spans="1:7" s="66" customFormat="1" ht="13.5">
      <c r="A8" s="72"/>
      <c r="B8" s="73">
        <v>1</v>
      </c>
      <c r="C8" s="74" t="str">
        <f>'Export all carrier choices'!B4</f>
        <v>CR100 - Export to excel</v>
      </c>
      <c r="D8" s="75">
        <f>'Export all carrier choices'!B6</f>
        <v>91</v>
      </c>
      <c r="E8" s="74">
        <f>'Export all carrier choices'!B7</f>
        <v>0</v>
      </c>
      <c r="F8" s="74">
        <f>'Export all carrier choices'!D6</f>
        <v>0</v>
      </c>
      <c r="G8" s="75">
        <f>'Export all carrier choices'!D7</f>
        <v>82</v>
      </c>
    </row>
    <row r="9" spans="1:7" ht="13.5">
      <c r="A9" s="18"/>
      <c r="B9" s="33"/>
      <c r="C9" s="32"/>
      <c r="D9" s="77"/>
      <c r="E9" s="31"/>
      <c r="F9" s="31"/>
      <c r="G9" s="34"/>
    </row>
    <row r="10" spans="1:7" ht="13.5">
      <c r="A10" s="18"/>
      <c r="B10" s="58"/>
      <c r="C10" s="59" t="s">
        <v>17</v>
      </c>
      <c r="D10" s="60">
        <f>SUM(D6:D9)</f>
        <v>91</v>
      </c>
      <c r="E10" s="60">
        <f>SUM(E6:E9)</f>
        <v>0</v>
      </c>
      <c r="F10" s="60">
        <f>SUM(F6:F9)</f>
        <v>0</v>
      </c>
      <c r="G10" s="61">
        <f>SUM(G6:G9)</f>
        <v>82</v>
      </c>
    </row>
    <row r="11" spans="1:7" ht="13.5">
      <c r="A11" s="18"/>
      <c r="B11" s="20"/>
      <c r="C11" s="18"/>
      <c r="D11" s="21"/>
      <c r="E11" s="22"/>
      <c r="F11" s="22"/>
      <c r="G11" s="22"/>
    </row>
    <row r="12" spans="1:7" ht="13.5">
      <c r="A12" s="18"/>
      <c r="B12" s="18"/>
      <c r="C12" s="18" t="s">
        <v>18</v>
      </c>
      <c r="D12" s="18"/>
      <c r="E12" s="23">
        <f>(D10+E10)*100/G10</f>
        <v>110.97560975609755</v>
      </c>
      <c r="F12" s="18" t="s">
        <v>19</v>
      </c>
      <c r="G12" s="24"/>
    </row>
    <row r="13" spans="1:7" ht="13.5">
      <c r="A13" s="18"/>
      <c r="B13" s="18"/>
      <c r="C13" s="18" t="s">
        <v>20</v>
      </c>
      <c r="D13" s="18"/>
      <c r="E13" s="23">
        <f>D10*100/G10</f>
        <v>110.97560975609755</v>
      </c>
      <c r="F13" s="18" t="s">
        <v>19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469E0-37BE-4D87-B4F8-5D7B9A1CA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Admin</cp:lastModifiedBy>
  <cp:lastPrinted>2006-08-02T10:15:15Z</cp:lastPrinted>
  <dcterms:created xsi:type="dcterms:W3CDTF">2002-07-27T17:17:25Z</dcterms:created>
  <dcterms:modified xsi:type="dcterms:W3CDTF">2026-05-29T08:33:40Z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